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D:\work\gitlab\fw-bm03-tester\Documents\"/>
    </mc:Choice>
  </mc:AlternateContent>
  <xr:revisionPtr revIDLastSave="0" documentId="13_ncr:1_{2F1EEE08-E0F0-4297-8776-BB7BB2994968}" xr6:coauthVersionLast="47" xr6:coauthVersionMax="47" xr10:uidLastSave="{00000000-0000-0000-0000-000000000000}"/>
  <bookViews>
    <workbookView xWindow="1710" yWindow="0" windowWidth="34200" windowHeight="20535"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1" i="25" l="1"/>
  <c r="I62" i="25"/>
  <c r="K61" i="25"/>
  <c r="L61" i="25"/>
  <c r="K62" i="25"/>
  <c r="L62" i="25"/>
  <c r="L57" i="25"/>
  <c r="L58" i="25"/>
  <c r="L59" i="25"/>
  <c r="L60" i="25"/>
  <c r="K68" i="25"/>
  <c r="L68" i="25"/>
  <c r="L72" i="25"/>
  <c r="L73" i="25"/>
  <c r="I68" i="25"/>
  <c r="I69" i="25" s="1"/>
  <c r="I70" i="25" s="1"/>
  <c r="I71" i="25" s="1"/>
  <c r="I72" i="25" s="1"/>
  <c r="I73" i="25" l="1"/>
  <c r="K72" i="25"/>
  <c r="L91" i="25"/>
  <c r="L90" i="25"/>
  <c r="L89" i="25"/>
  <c r="L88" i="25"/>
  <c r="L87" i="25"/>
  <c r="L86" i="25"/>
  <c r="L85" i="25"/>
  <c r="L84" i="25"/>
  <c r="L83" i="25"/>
  <c r="L82" i="25"/>
  <c r="L81" i="25"/>
  <c r="L80" i="25"/>
  <c r="L79" i="25"/>
  <c r="L78" i="25"/>
  <c r="L77" i="25"/>
  <c r="L76" i="25"/>
  <c r="L75" i="25"/>
  <c r="L74" i="25"/>
  <c r="K73" i="25" l="1"/>
  <c r="I74" i="25"/>
  <c r="I75" i="25" l="1"/>
  <c r="K74" i="25"/>
  <c r="I76" i="25" l="1"/>
  <c r="K75" i="25"/>
  <c r="K76" i="25" l="1"/>
  <c r="I77" i="25"/>
  <c r="K77" i="25" l="1"/>
  <c r="I78" i="25"/>
  <c r="I79" i="25" l="1"/>
  <c r="K78" i="25"/>
  <c r="I80" i="25" l="1"/>
  <c r="K79" i="25"/>
  <c r="I81" i="25" l="1"/>
  <c r="K80" i="25"/>
  <c r="I82" i="25" l="1"/>
  <c r="K81" i="25"/>
  <c r="I83" i="25" l="1"/>
  <c r="K82" i="25"/>
  <c r="I84" i="25" l="1"/>
  <c r="K83" i="25"/>
  <c r="K84" i="25" l="1"/>
  <c r="I85" i="25"/>
  <c r="K85" i="25" l="1"/>
  <c r="I86" i="25"/>
  <c r="I87" i="25" l="1"/>
  <c r="K86" i="25"/>
  <c r="L52" i="25"/>
  <c r="L53" i="25"/>
  <c r="L54" i="25"/>
  <c r="L55" i="25"/>
  <c r="L56" i="25"/>
  <c r="L51" i="25"/>
  <c r="L30" i="25"/>
  <c r="I50" i="25"/>
  <c r="K50" i="25" s="1"/>
  <c r="L50" i="25"/>
  <c r="K65" i="25"/>
  <c r="K45" i="25"/>
  <c r="L46" i="25"/>
  <c r="I46" i="25"/>
  <c r="K46" i="25" s="1"/>
  <c r="L45" i="25"/>
  <c r="L65" i="25"/>
  <c r="L29" i="25"/>
  <c r="F10" i="25"/>
  <c r="F8" i="25"/>
  <c r="I88" i="25" l="1"/>
  <c r="K87" i="25"/>
  <c r="I51" i="25"/>
  <c r="L41" i="25"/>
  <c r="L40" i="25"/>
  <c r="L39" i="25"/>
  <c r="L38" i="25"/>
  <c r="L36" i="25"/>
  <c r="L35" i="25"/>
  <c r="L34" i="25"/>
  <c r="L33" i="25"/>
  <c r="L28" i="25"/>
  <c r="L27" i="25"/>
  <c r="L20" i="25"/>
  <c r="L19" i="25"/>
  <c r="L18" i="25"/>
  <c r="K38" i="25"/>
  <c r="K33" i="25"/>
  <c r="I89" i="25" l="1"/>
  <c r="K88" i="25"/>
  <c r="I52" i="25"/>
  <c r="K51" i="25"/>
  <c r="I39" i="25"/>
  <c r="I90" i="25" l="1"/>
  <c r="K89" i="25"/>
  <c r="I53" i="25"/>
  <c r="K52" i="25"/>
  <c r="I40" i="25"/>
  <c r="K39" i="25"/>
  <c r="K90" i="25" l="1"/>
  <c r="I91" i="25"/>
  <c r="K91" i="25" s="1"/>
  <c r="I54" i="25"/>
  <c r="K53" i="25"/>
  <c r="I41" i="25"/>
  <c r="K41" i="25" s="1"/>
  <c r="K40" i="25"/>
  <c r="I55" i="25" l="1"/>
  <c r="K54" i="25"/>
  <c r="I18" i="25"/>
  <c r="F7" i="25"/>
  <c r="F12" i="25"/>
  <c r="I56" i="25" l="1"/>
  <c r="K55" i="25"/>
  <c r="K18" i="25"/>
  <c r="I19" i="25"/>
  <c r="I20" i="25" s="1"/>
  <c r="I21" i="25" s="1"/>
  <c r="K56" i="25" l="1"/>
  <c r="I57" i="25"/>
  <c r="I22" i="25"/>
  <c r="K21" i="25"/>
  <c r="K19" i="25"/>
  <c r="I34" i="25"/>
  <c r="K34" i="25" s="1"/>
  <c r="K57" i="25" l="1"/>
  <c r="I58" i="25"/>
  <c r="I23" i="25"/>
  <c r="K22" i="25"/>
  <c r="K20" i="25"/>
  <c r="I35" i="25"/>
  <c r="K58" i="25" l="1"/>
  <c r="I59" i="25"/>
  <c r="K23" i="25"/>
  <c r="I24" i="25"/>
  <c r="K24" i="25" s="1"/>
  <c r="I25" i="25"/>
  <c r="I36" i="25"/>
  <c r="K36" i="25" s="1"/>
  <c r="K35" i="25"/>
  <c r="K59" i="25" l="1"/>
  <c r="I60" i="25"/>
  <c r="K60" i="25" s="1"/>
  <c r="I26" i="25"/>
  <c r="K25" i="25"/>
  <c r="I27" i="25" l="1"/>
  <c r="K26" i="25"/>
  <c r="I28" i="25" l="1"/>
  <c r="K27" i="25"/>
  <c r="I29" i="25" l="1"/>
  <c r="K28" i="25"/>
  <c r="I30" i="25" l="1"/>
  <c r="K30" i="25" s="1"/>
  <c r="K29" i="25"/>
</calcChain>
</file>

<file path=xl/sharedStrings.xml><?xml version="1.0" encoding="utf-8"?>
<sst xmlns="http://schemas.openxmlformats.org/spreadsheetml/2006/main" count="505" uniqueCount="292">
  <si>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</si>
  <si>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</si>
  <si>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</si>
  <si>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</si>
  <si>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</si>
  <si>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</si>
  <si>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</si>
  <si>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</si>
  <si>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</si>
  <si>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</si>
  <si>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</si>
  <si>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</si>
  <si>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</si>
  <si>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</si>
  <si>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</si>
  <si>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</si>
  <si>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</si>
  <si>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</si>
  <si>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</si>
  <si>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</si>
  <si>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</si>
  <si>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</si>
  <si>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</si>
  <si>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</si>
  <si>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</si>
  <si>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</si>
  <si>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</si>
  <si>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</si>
  <si>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</si>
  <si>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</si>
  <si>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</si>
  <si>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</si>
  <si>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</si>
  <si>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</si>
  <si>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</si>
  <si>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</si>
  <si>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</si>
  <si>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</si>
  <si>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</si>
  <si>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</si>
  <si>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</si>
  <si>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</si>
  <si>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</si>
  <si>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</si>
  <si>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</si>
  <si>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</si>
  <si>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</si>
  <si>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</si>
  <si>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</si>
  <si>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</si>
  <si>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</si>
  <si>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</si>
  <si>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</si>
  <si>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</si>
  <si>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</si>
  <si>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</si>
  <si>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</si>
  <si>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</si>
  <si>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</si>
  <si>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</si>
  <si>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</si>
  <si>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</si>
  <si>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</si>
  <si>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</si>
  <si>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</si>
  <si>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</si>
  <si>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</si>
  <si>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</si>
  <si>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</si>
  <si>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</si>
  <si>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</si>
  <si>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</si>
  <si>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</si>
  <si>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</si>
  <si>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</si>
  <si>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</si>
  <si>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</si>
  <si>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</si>
  <si>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</si>
  <si>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</si>
  <si>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</si>
  <si>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</si>
  <si>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</si>
  <si>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</si>
  <si>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</si>
  <si>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</si>
  <si>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</si>
  <si>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</si>
  <si>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</si>
  <si>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</si>
  <si>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</si>
  <si>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</si>
  <si>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</si>
  <si>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</si>
  <si>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</si>
  <si>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</si>
  <si>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</si>
  <si>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</si>
  <si>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</si>
  <si>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</si>
  <si>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</si>
  <si>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</si>
  <si>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</si>
  <si>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</si>
  <si>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</si>
  <si>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</si>
  <si>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</si>
  <si>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</si>
  <si>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</si>
  <si>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</si>
  <si>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</si>
  <si>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</si>
  <si>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</si>
  <si>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</si>
  <si>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</si>
  <si>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</si>
  <si>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</si>
  <si>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</si>
  <si>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</si>
  <si>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</si>
  <si>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</si>
  <si>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</si>
  <si>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</si>
  <si>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</si>
  <si>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</si>
  <si>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</si>
  <si>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</si>
  <si>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</si>
  <si>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</si>
  <si>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</si>
  <si>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</si>
  <si>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</si>
  <si>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</si>
  <si>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</si>
  <si>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</si>
  <si>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</si>
  <si>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</si>
  <si>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</si>
  <si>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</si>
  <si>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</si>
  <si>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</si>
  <si>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</si>
  <si>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</si>
  <si>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</si>
  <si>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</si>
  <si>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</si>
  <si>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</si>
  <si>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</si>
  <si>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</si>
  <si>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</si>
  <si>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</si>
  <si>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</si>
  <si>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</si>
  <si>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</si>
  <si>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</si>
  <si>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</si>
  <si>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</si>
  <si>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</si>
  <si>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</si>
  <si>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</si>
  <si>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</si>
  <si>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</si>
  <si>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</si>
  <si>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</si>
  <si>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</si>
  <si>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</si>
  <si>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</si>
  <si>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</si>
  <si>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</si>
  <si>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</si>
  <si>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</si>
  <si>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</si>
  <si>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</si>
  <si>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</si>
  <si>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</si>
  <si>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</si>
  <si>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</si>
  <si>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</si>
  <si>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</si>
  <si>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</si>
  <si>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</si>
  <si>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</si>
  <si>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</si>
  <si>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</si>
  <si>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</si>
  <si>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</si>
  <si>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</si>
  <si>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</si>
  <si>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</si>
  <si>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</si>
  <si>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</si>
  <si>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</si>
  <si>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</si>
  <si>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</si>
  <si>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</si>
  <si>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</si>
  <si>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</si>
  <si>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</si>
  <si>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</si>
  <si>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</si>
  <si>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</si>
  <si>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</si>
  <si>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</si>
  <si>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</si>
  <si>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BM</t>
  </si>
  <si>
    <t>BABY_MONITOR</t>
  </si>
  <si>
    <t>Baby monitor input/output</t>
  </si>
  <si>
    <t>MUX</t>
  </si>
  <si>
    <t>D:\work\gitlab\fw-bm03-tester\Documents\txts\Bm03Tester_Define.txt</t>
  </si>
  <si>
    <t>D:\work\gitlab\fw-bm03-tester\Documents\txts\Bm03Tester_Storage.txt</t>
  </si>
  <si>
    <t>D:\work\gitlab\fw-bm03-tester\Documents\txts\Bm03Tester_Factory.txt</t>
  </si>
  <si>
    <t>D:\work\gitlab\fw-bm03-tester\Documents\txts\reg_map.c</t>
  </si>
  <si>
    <t>D:\work\gitlab\fw-bm03-tester\Documents\txts\Bm03Tester_registers.json</t>
  </si>
  <si>
    <t>D:\work\gitlab\fw-bm03-tester\Documents\txts\Bm03TesterRegs.py</t>
  </si>
  <si>
    <t>D:\work\gitlab\fw-bm03-tester\Documents\txts\Bm03Tester_Modbus.json</t>
  </si>
  <si>
    <t>Error code</t>
  </si>
  <si>
    <t>Set calibration resistance values to all channels.
Value 0 - calibration disabled</t>
  </si>
  <si>
    <t>D:\work\gitlab\fw-bm03-tester\Documents\txts\Bm03Tester_Registers.json</t>
  </si>
  <si>
    <t>MUX_DEFAULT</t>
  </si>
  <si>
    <t>Multiplexer select</t>
  </si>
  <si>
    <t>Default multiplexer</t>
  </si>
  <si>
    <t>PADS</t>
  </si>
  <si>
    <t>Number of pads</t>
  </si>
  <si>
    <t>SIGNAL_PERIOD</t>
  </si>
  <si>
    <t>Signal period</t>
  </si>
  <si>
    <t>SIGNAL_BASE</t>
  </si>
  <si>
    <t>SIGNAL_AMPLITUDE</t>
  </si>
  <si>
    <t>Signal DC value</t>
  </si>
  <si>
    <t>Signal AC amplitude</t>
  </si>
  <si>
    <t>ms</t>
  </si>
  <si>
    <t>mV</t>
  </si>
  <si>
    <t>PAD_MODE</t>
  </si>
  <si>
    <t>Pad mode</t>
  </si>
  <si>
    <t>LAST_CU_SN_WRITE_INDEX</t>
  </si>
  <si>
    <t>CU_SN_INDEX0</t>
  </si>
  <si>
    <t>CU_SN_INDEX1</t>
  </si>
  <si>
    <t>CU_SN_INDEX2</t>
  </si>
  <si>
    <t>CU_SN_INDEX3</t>
  </si>
  <si>
    <t>CU_SN_INDEX4</t>
  </si>
  <si>
    <t>CU_SN_INDEX5</t>
  </si>
  <si>
    <t>CU_SN_INDEX6</t>
  </si>
  <si>
    <t>CU_SN_INDEX7</t>
  </si>
  <si>
    <t>CU_SN_INDEX8</t>
  </si>
  <si>
    <t>CU_SN_INDEX9</t>
  </si>
  <si>
    <t>PAD</t>
  </si>
  <si>
    <t>PAD_MEMORY</t>
  </si>
  <si>
    <t xml:space="preserve">Content of pad EEPROM </t>
  </si>
  <si>
    <t>TIU_STANDBY</t>
  </si>
  <si>
    <t>TIU_ACTIVE</t>
  </si>
  <si>
    <t>KID_PLACEMENT_NOTIF_CNT</t>
  </si>
  <si>
    <t>ACTIVE_MODE_CNT</t>
  </si>
  <si>
    <t>CONN_CNT</t>
  </si>
  <si>
    <t>ALARM_CNT</t>
  </si>
  <si>
    <t>Serial number of PAD</t>
  </si>
  <si>
    <t>Index of last written CU SN</t>
  </si>
  <si>
    <t>Control unit serial number 0</t>
  </si>
  <si>
    <t>Control unit serial number 1</t>
  </si>
  <si>
    <t>Control unit serial number 2</t>
  </si>
  <si>
    <t>Control unit serial number 3</t>
  </si>
  <si>
    <t>Control unit serial number 4</t>
  </si>
  <si>
    <t>Control unit serial number 5</t>
  </si>
  <si>
    <t>Control unit serial number 6</t>
  </si>
  <si>
    <t>Control unit serial number 7</t>
  </si>
  <si>
    <t>Control unit serial number 8</t>
  </si>
  <si>
    <t>Control unit serial number 9</t>
  </si>
  <si>
    <t>Time-in-use in standby mode</t>
  </si>
  <si>
    <t>Time-in-use in active mode</t>
  </si>
  <si>
    <t>Number of kid placement notifications</t>
  </si>
  <si>
    <t>Number of active mode activation</t>
  </si>
  <si>
    <t>Number of pad connections</t>
  </si>
  <si>
    <t>Number of alarms</t>
  </si>
  <si>
    <t>SELECT</t>
  </si>
  <si>
    <t>PAD_COM_IDLE</t>
  </si>
  <si>
    <t>PAD_COM_READ</t>
  </si>
  <si>
    <t>PAD_COM_WRITE</t>
  </si>
  <si>
    <t>Command for selected PAD memory</t>
  </si>
  <si>
    <t>Idle state</t>
  </si>
  <si>
    <t>Write memory</t>
  </si>
  <si>
    <t>Read memory</t>
  </si>
  <si>
    <t>reserved</t>
  </si>
  <si>
    <t>POWER_0</t>
  </si>
  <si>
    <t>POWER_1</t>
  </si>
  <si>
    <t>ALARM_0</t>
  </si>
  <si>
    <t>ALARM_1</t>
  </si>
  <si>
    <t>Counter of alarms on in PB4</t>
  </si>
  <si>
    <t>Counter of alarms on in PB5</t>
  </si>
  <si>
    <t>Enable power on PB6</t>
  </si>
  <si>
    <t>Enable power on PB7</t>
  </si>
  <si>
    <t>SYNC_EN</t>
  </si>
  <si>
    <t>SYNC_OFF</t>
  </si>
  <si>
    <t>Enable synchronization output</t>
  </si>
  <si>
    <t>Time when it is considered to be out of sync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</si>
</sst>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31"/>
  <sheetViews>
    <sheetView tabSelected="1" zoomScaleNormal="100" workbookViewId="0">
      <selection activeCell="M63" sqref="M63"/>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9"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211</v>
      </c>
      <c r="T3" s="31"/>
    </row>
    <row r="4" spans="1:26" ht="24.95" customHeight="1" x14ac:dyDescent="0.25">
      <c r="D4" s="31" t="s">
        <v>18</v>
      </c>
      <c r="E4" s="31"/>
      <c r="F4" s="31" t="s">
        <v>113</v>
      </c>
      <c r="J4" s="3" t="s">
        <v>1</v>
      </c>
      <c r="K4" s="9" t="s">
        <v>5</v>
      </c>
      <c r="L4" s="8" t="s">
        <v>208</v>
      </c>
      <c r="M4" s="11"/>
      <c r="U4" s="12" t="s">
        <v>1</v>
      </c>
      <c r="Z4" s="10"/>
    </row>
    <row r="5" spans="1:26" ht="24.95" customHeight="1" x14ac:dyDescent="0.25">
      <c r="D5" s="31" t="s">
        <v>19</v>
      </c>
      <c r="E5" s="31"/>
      <c r="F5" s="31" t="s">
        <v>20</v>
      </c>
      <c r="J5" s="3" t="s">
        <v>1</v>
      </c>
      <c r="K5" s="9" t="s">
        <v>100</v>
      </c>
      <c r="L5" s="8" t="s">
        <v>217</v>
      </c>
      <c r="M5" s="11"/>
      <c r="U5" s="12" t="s">
        <v>1</v>
      </c>
      <c r="Z5" s="10"/>
    </row>
    <row r="6" spans="1:26" ht="24.95" customHeight="1" x14ac:dyDescent="0.25">
      <c r="D6" s="31" t="s">
        <v>63</v>
      </c>
      <c r="E6" s="13"/>
      <c r="F6" s="32">
        <v>1</v>
      </c>
      <c r="J6" s="3" t="s">
        <v>1</v>
      </c>
      <c r="K6" s="9" t="s">
        <v>17</v>
      </c>
      <c r="L6" s="8" t="s">
        <v>209</v>
      </c>
      <c r="M6" s="11"/>
      <c r="U6" s="12" t="s">
        <v>1</v>
      </c>
      <c r="Z6" s="10"/>
    </row>
    <row r="7" spans="1:26" ht="24.95" customHeight="1" x14ac:dyDescent="0.25">
      <c r="D7" s="31" t="s">
        <v>143</v>
      </c>
      <c r="E7" s="13"/>
      <c r="F7" s="31" t="str">
        <f>GetWorkName()</f>
        <v>Bm03Tester</v>
      </c>
      <c r="J7" s="3" t="s">
        <v>1</v>
      </c>
      <c r="K7" s="9" t="s">
        <v>21</v>
      </c>
      <c r="L7" s="8" t="s">
        <v>210</v>
      </c>
      <c r="M7" s="11"/>
      <c r="U7" s="12" t="s">
        <v>1</v>
      </c>
      <c r="Z7" s="10"/>
    </row>
    <row r="8" spans="1:26" ht="24.95" customHeight="1" x14ac:dyDescent="0.25">
      <c r="D8" s="31" t="s">
        <v>117</v>
      </c>
      <c r="E8" s="13"/>
      <c r="F8" s="31" t="str">
        <f>GetPath()&amp;"\..\Firmware\bm03_tester_app\Core\Common\"</f>
        <v>D:\work\gitlab\fw-bm03-tester\Documents\..\Firmware\bm03_tester_app\Core\Common\</v>
      </c>
      <c r="J8" s="3" t="s">
        <v>1</v>
      </c>
      <c r="K8" s="9" t="s">
        <v>145</v>
      </c>
      <c r="L8" s="8" t="s">
        <v>214</v>
      </c>
      <c r="M8" s="11"/>
      <c r="U8" s="12" t="s">
        <v>1</v>
      </c>
      <c r="Z8" s="10"/>
    </row>
    <row r="9" spans="1:26" ht="24.95" customHeight="1" x14ac:dyDescent="0.25">
      <c r="D9" s="31" t="s">
        <v>148</v>
      </c>
      <c r="E9" s="13"/>
      <c r="F9" s="31"/>
      <c r="J9" s="3"/>
      <c r="K9" s="9" t="s">
        <v>1</v>
      </c>
      <c r="L9" s="8" t="s">
        <v>213</v>
      </c>
      <c r="M9" s="11"/>
      <c r="Z9" s="10"/>
    </row>
    <row r="10" spans="1:26" ht="24.95" customHeight="1" x14ac:dyDescent="0.25">
      <c r="D10" s="31" t="s">
        <v>153</v>
      </c>
      <c r="E10" s="13"/>
      <c r="F10" s="31" t="str">
        <f>GetPath()&amp;"\..\Tests\bm03_tester\"</f>
        <v>D:\work\gitlab\fw-bm03-tester\Documents\..\Tests\bm03_tester\</v>
      </c>
      <c r="K10" s="9" t="s">
        <v>154</v>
      </c>
      <c r="L10" s="8" t="s">
        <v>212</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4"/>
      <c r="B16" s="44"/>
      <c r="C16" s="43"/>
      <c r="D16" s="46" t="s">
        <v>8</v>
      </c>
      <c r="E16" s="48" t="s">
        <v>33</v>
      </c>
      <c r="F16" s="41" t="s">
        <v>10</v>
      </c>
      <c r="G16" s="41" t="s">
        <v>39</v>
      </c>
      <c r="H16" s="41" t="s">
        <v>11</v>
      </c>
      <c r="I16" s="46" t="s">
        <v>0</v>
      </c>
      <c r="J16" s="41" t="s">
        <v>13</v>
      </c>
      <c r="K16" s="46" t="s">
        <v>16</v>
      </c>
      <c r="L16" s="46" t="s">
        <v>2</v>
      </c>
      <c r="M16" s="54" t="s">
        <v>134</v>
      </c>
      <c r="N16" s="41" t="s">
        <v>14</v>
      </c>
      <c r="O16" s="51" t="s">
        <v>118</v>
      </c>
      <c r="P16" s="51" t="s">
        <v>119</v>
      </c>
      <c r="Q16" s="51" t="s">
        <v>123</v>
      </c>
      <c r="R16" s="51" t="s">
        <v>149</v>
      </c>
      <c r="S16" s="53" t="s">
        <v>101</v>
      </c>
      <c r="T16" s="50" t="s">
        <v>4</v>
      </c>
    </row>
    <row r="17" spans="1:20" ht="15" customHeight="1" x14ac:dyDescent="0.25">
      <c r="A17" s="45"/>
      <c r="B17" s="45"/>
      <c r="C17" s="43"/>
      <c r="D17" s="47"/>
      <c r="E17" s="49"/>
      <c r="F17" s="42"/>
      <c r="G17" s="42"/>
      <c r="H17" s="42"/>
      <c r="I17" s="47"/>
      <c r="J17" s="42"/>
      <c r="K17" s="47"/>
      <c r="L17" s="47"/>
      <c r="M17" s="55"/>
      <c r="N17" s="47"/>
      <c r="O17" s="52"/>
      <c r="P17" s="52"/>
      <c r="Q17" s="56"/>
      <c r="R17" s="56"/>
      <c r="S17" s="52"/>
      <c r="T17" s="49"/>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0"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193</v>
      </c>
      <c r="Q29" s="29"/>
      <c r="R29" s="29"/>
      <c r="T29" t="s">
        <v>194</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215</v>
      </c>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0"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0"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0"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0"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0" x14ac:dyDescent="0.25">
      <c r="D37" s="14"/>
      <c r="E37" s="11"/>
      <c r="F37" s="14"/>
      <c r="G37" s="5"/>
      <c r="H37" s="18"/>
      <c r="I37" s="14"/>
      <c r="J37" s="14"/>
      <c r="K37" s="10"/>
      <c r="M37"/>
      <c r="O37" s="3"/>
      <c r="P37" s="3"/>
      <c r="R37" s="29"/>
      <c r="T37"/>
    </row>
    <row r="38" spans="1:20"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0"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0"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0"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0" x14ac:dyDescent="0.25">
      <c r="D42" s="15"/>
      <c r="E42" s="2"/>
      <c r="F42" s="5"/>
      <c r="G42" s="5"/>
      <c r="H42" s="18"/>
      <c r="I42" s="14"/>
      <c r="J42" s="14"/>
      <c r="K42" s="10"/>
      <c r="L42" s="3"/>
      <c r="M42"/>
      <c r="R42" s="29"/>
      <c r="T42"/>
    </row>
    <row r="44" spans="1:20" s="34" customFormat="1" x14ac:dyDescent="0.25">
      <c r="D44" s="40"/>
      <c r="F44" s="29"/>
      <c r="G44" s="29"/>
      <c r="H44" s="29"/>
      <c r="I44" s="29"/>
      <c r="J44" s="29"/>
      <c r="K44" s="10"/>
      <c r="L44" s="29"/>
      <c r="N44" s="29"/>
      <c r="O44" s="29"/>
      <c r="P44" s="29"/>
      <c r="Q44" s="29"/>
      <c r="R44" s="29"/>
      <c r="S44" s="29"/>
      <c r="T44"/>
    </row>
    <row r="45" spans="1:20" s="34" customFormat="1" x14ac:dyDescent="0.25">
      <c r="D45" s="40"/>
      <c r="E45" s="2" t="s">
        <v>201</v>
      </c>
      <c r="F45" s="3" t="s">
        <v>182</v>
      </c>
      <c r="G45" s="5" t="s">
        <v>48</v>
      </c>
      <c r="H45" s="18" t="s">
        <v>50</v>
      </c>
      <c r="I45" s="33">
        <v>0</v>
      </c>
      <c r="J45" s="29">
        <v>2</v>
      </c>
      <c r="K45" s="10" t="str">
        <f xml:space="preserve"> IFERROR("0x" &amp; DEC2HEX(VLOOKUP(F45,Common!$C$10:$D$34,2,FALSE),2) &amp; DEC2HEX(I45,3) &amp; DEC2HEX(VLOOKUP(G45,Common!$C$51:$D$55,2,FALSE),1) &amp; DEC2HEX(1+2*VLOOKUP(H45,Common!$C$69:$D$72,2,FALSE),1) &amp; DEC2HEX(IFERROR(LOG(J45,2),0),1),0)</f>
        <v>0x04000151</v>
      </c>
      <c r="L45" s="29" t="str">
        <f>IF(AND(LEN(E45)&lt;&gt;0,S45=""),F45&amp;"_"&amp;UPPER(E45),"")</f>
        <v>CALIB_MODE</v>
      </c>
      <c r="M45" t="s">
        <v>202</v>
      </c>
      <c r="N45" s="29">
        <v>0</v>
      </c>
      <c r="O45" s="29">
        <v>0</v>
      </c>
      <c r="P45" s="29">
        <v>24</v>
      </c>
      <c r="Q45" s="29"/>
      <c r="R45" s="29"/>
      <c r="S45" s="3"/>
      <c r="T45" t="s">
        <v>216</v>
      </c>
    </row>
    <row r="46" spans="1:20" s="34" customFormat="1" x14ac:dyDescent="0.25">
      <c r="D46" s="40"/>
      <c r="E46" s="2" t="s">
        <v>195</v>
      </c>
      <c r="F46" s="3" t="s">
        <v>182</v>
      </c>
      <c r="G46" s="5" t="s">
        <v>48</v>
      </c>
      <c r="H46" s="18" t="s">
        <v>50</v>
      </c>
      <c r="I46" s="33">
        <f xml:space="preserve"> I45+J45</f>
        <v>2</v>
      </c>
      <c r="J46" s="29">
        <v>2</v>
      </c>
      <c r="K46" s="10" t="str">
        <f xml:space="preserve"> IFERROR("0x" &amp; DEC2HEX(VLOOKUP(F46,Common!$C$10:$D$34,2,FALSE),2) &amp; DEC2HEX(I46,3) &amp; DEC2HEX(VLOOKUP(G46,Common!$C$51:$D$55,2,FALSE),1) &amp; DEC2HEX(1+2*VLOOKUP(H46,Common!$C$69:$D$72,2,FALSE),1) &amp; DEC2HEX(IFERROR(LOG(J46,2),0),1),0)</f>
        <v>0x04002151</v>
      </c>
      <c r="L46" s="29" t="str">
        <f t="shared" ref="L46" si="2">IF(AND(LEN(E46)&lt;&gt;0,S46=""),F46&amp;"_"&amp;UPPER(E46),"")</f>
        <v>CALIB_RESERVED</v>
      </c>
      <c r="M46" t="s">
        <v>89</v>
      </c>
      <c r="N46" s="29"/>
      <c r="O46" s="29"/>
      <c r="P46" s="29"/>
      <c r="Q46" s="29"/>
      <c r="R46" s="29"/>
      <c r="S46" s="3"/>
      <c r="T46" t="s">
        <v>52</v>
      </c>
    </row>
    <row r="47" spans="1:20" s="34" customFormat="1" x14ac:dyDescent="0.25">
      <c r="D47" s="40"/>
      <c r="E47"/>
      <c r="F47" s="3"/>
      <c r="G47" s="3"/>
      <c r="H47" s="3"/>
      <c r="I47" s="33"/>
      <c r="J47" s="3"/>
      <c r="K47" s="10"/>
      <c r="L47" s="29"/>
      <c r="M47"/>
      <c r="N47" s="29"/>
      <c r="O47" s="29"/>
      <c r="P47" s="29"/>
      <c r="Q47" s="3"/>
      <c r="R47" s="3"/>
      <c r="T47"/>
    </row>
    <row r="48" spans="1:20" s="34" customFormat="1" x14ac:dyDescent="0.25">
      <c r="D48" s="40"/>
      <c r="E48"/>
      <c r="F48" s="3"/>
      <c r="G48" s="3"/>
      <c r="H48" s="3"/>
      <c r="I48" s="33"/>
      <c r="J48" s="3"/>
      <c r="K48" s="10"/>
      <c r="L48" s="29"/>
      <c r="M48"/>
      <c r="N48" s="29"/>
      <c r="O48" s="29"/>
      <c r="P48" s="29"/>
      <c r="Q48" s="3"/>
      <c r="R48" s="3"/>
      <c r="T48"/>
    </row>
    <row r="49" spans="1:35" s="10" customFormat="1" x14ac:dyDescent="0.25">
      <c r="A49" s="12"/>
      <c r="B49" s="12"/>
      <c r="C49" s="12"/>
      <c r="D49"/>
      <c r="E49" s="24"/>
      <c r="F49" s="23"/>
      <c r="G49" s="23"/>
      <c r="H49" s="26"/>
      <c r="I49" s="22"/>
      <c r="J49" s="22"/>
      <c r="L49" s="22"/>
      <c r="M49" s="21"/>
      <c r="N49" s="22"/>
      <c r="O49" s="22"/>
      <c r="P49" s="22"/>
      <c r="Q49" s="22"/>
      <c r="R49" s="28"/>
      <c r="S49" s="22"/>
      <c r="T49" s="21"/>
      <c r="U49"/>
      <c r="V49"/>
      <c r="W49"/>
      <c r="X49"/>
      <c r="Y49"/>
      <c r="Z49" s="12"/>
      <c r="AA49" s="12"/>
      <c r="AB49" s="12"/>
      <c r="AC49" s="12"/>
      <c r="AD49" s="12"/>
      <c r="AE49" s="12"/>
      <c r="AF49" s="12"/>
      <c r="AG49" s="12"/>
      <c r="AH49" s="12"/>
      <c r="AI49" s="12"/>
    </row>
    <row r="50" spans="1:35" s="34" customFormat="1" x14ac:dyDescent="0.25">
      <c r="D50" s="40"/>
      <c r="E50" t="s">
        <v>207</v>
      </c>
      <c r="F50" s="3" t="s">
        <v>204</v>
      </c>
      <c r="G50" s="3" t="s">
        <v>48</v>
      </c>
      <c r="H50" s="3" t="s">
        <v>50</v>
      </c>
      <c r="I50" s="33">
        <f xml:space="preserve"> I49+J49</f>
        <v>0</v>
      </c>
      <c r="J50" s="29">
        <v>1</v>
      </c>
      <c r="K50" s="10" t="str">
        <f xml:space="preserve"> IFERROR("0x" &amp; DEC2HEX(VLOOKUP(F50,Common!$C$10:$D$34,2,FALSE),2) &amp; DEC2HEX(I50,3) &amp; DEC2HEX(VLOOKUP(G50,Common!$C$51:$D$55,2,FALSE),1) &amp; DEC2HEX(1+2*VLOOKUP(H50,Common!$C$69:$D$72,2,FALSE),1) &amp; DEC2HEX(IFERROR(LOG(J50,2),0),1),0)</f>
        <v>0x05000150</v>
      </c>
      <c r="L50" s="29" t="str">
        <f t="shared" ref="L50:L51" si="3">IF(AND(LEN(E50)&lt;&gt;0,S50=""),F50&amp;"_"&amp;UPPER(E50),"")</f>
        <v>BM_MUX</v>
      </c>
      <c r="M50" t="s">
        <v>219</v>
      </c>
      <c r="N50" s="29">
        <v>0</v>
      </c>
      <c r="O50" s="29">
        <v>0</v>
      </c>
      <c r="P50" s="29">
        <v>8</v>
      </c>
      <c r="Q50" s="29"/>
      <c r="R50" s="3"/>
      <c r="T50"/>
    </row>
    <row r="51" spans="1:35" s="34" customFormat="1" x14ac:dyDescent="0.25">
      <c r="D51" s="40"/>
      <c r="E51" t="s">
        <v>218</v>
      </c>
      <c r="F51" s="3" t="s">
        <v>204</v>
      </c>
      <c r="G51" s="3" t="s">
        <v>48</v>
      </c>
      <c r="H51" s="3" t="s">
        <v>47</v>
      </c>
      <c r="I51" s="33">
        <f xml:space="preserve"> I50+J50</f>
        <v>1</v>
      </c>
      <c r="J51" s="29">
        <v>1</v>
      </c>
      <c r="K51" s="10" t="str">
        <f xml:space="preserve"> IFERROR("0x" &amp; DEC2HEX(VLOOKUP(F51,Common!$C$10:$D$34,2,FALSE),2) &amp; DEC2HEX(I51,3) &amp; DEC2HEX(VLOOKUP(G51,Common!$C$51:$D$55,2,FALSE),1) &amp; DEC2HEX(1+2*VLOOKUP(H51,Common!$C$69:$D$72,2,FALSE),1) &amp; DEC2HEX(IFERROR(LOG(J51,2),0),1),0)</f>
        <v>0x05001170</v>
      </c>
      <c r="L51" s="29" t="str">
        <f t="shared" si="3"/>
        <v>BM_MUX_DEFAULT</v>
      </c>
      <c r="M51" t="s">
        <v>220</v>
      </c>
      <c r="N51" s="29">
        <v>0</v>
      </c>
      <c r="O51" s="29">
        <v>0</v>
      </c>
      <c r="P51" s="29">
        <v>8</v>
      </c>
      <c r="Q51" s="29"/>
      <c r="R51" s="3"/>
      <c r="T51"/>
    </row>
    <row r="52" spans="1:35" s="34" customFormat="1" x14ac:dyDescent="0.25">
      <c r="D52" s="40"/>
      <c r="E52" t="s">
        <v>221</v>
      </c>
      <c r="F52" s="3" t="s">
        <v>204</v>
      </c>
      <c r="G52" s="3" t="s">
        <v>48</v>
      </c>
      <c r="H52" s="3" t="s">
        <v>50</v>
      </c>
      <c r="I52" s="33">
        <f t="shared" ref="I52:I56" si="4" xml:space="preserve"> I51+J51</f>
        <v>2</v>
      </c>
      <c r="J52" s="29">
        <v>1</v>
      </c>
      <c r="K52" s="10" t="str">
        <f xml:space="preserve"> IFERROR("0x" &amp; DEC2HEX(VLOOKUP(F52,Common!$C$10:$D$34,2,FALSE),2) &amp; DEC2HEX(I52,3) &amp; DEC2HEX(VLOOKUP(G52,Common!$C$51:$D$55,2,FALSE),1) &amp; DEC2HEX(1+2*VLOOKUP(H52,Common!$C$69:$D$72,2,FALSE),1) &amp; DEC2HEX(IFERROR(LOG(J52,2),0),1),0)</f>
        <v>0x05002150</v>
      </c>
      <c r="L52" s="29" t="str">
        <f t="shared" ref="L52:L56" si="5">IF(AND(LEN(E52)&lt;&gt;0,S52=""),F52&amp;"_"&amp;UPPER(E52),"")</f>
        <v>BM_PADS</v>
      </c>
      <c r="M52" t="s">
        <v>222</v>
      </c>
      <c r="N52" s="29">
        <v>0</v>
      </c>
      <c r="O52" s="29">
        <v>0</v>
      </c>
      <c r="P52" s="29">
        <v>8</v>
      </c>
      <c r="Q52" s="29"/>
      <c r="R52" s="29"/>
      <c r="T52"/>
    </row>
    <row r="53" spans="1:35" s="34" customFormat="1" x14ac:dyDescent="0.25">
      <c r="D53" s="40"/>
      <c r="E53" t="s">
        <v>231</v>
      </c>
      <c r="F53" s="3" t="s">
        <v>204</v>
      </c>
      <c r="G53" s="3" t="s">
        <v>48</v>
      </c>
      <c r="H53" s="3" t="s">
        <v>50</v>
      </c>
      <c r="I53" s="33">
        <f t="shared" si="4"/>
        <v>3</v>
      </c>
      <c r="J53" s="29">
        <v>1</v>
      </c>
      <c r="K53" s="10" t="str">
        <f xml:space="preserve"> IFERROR("0x" &amp; DEC2HEX(VLOOKUP(F53,Common!$C$10:$D$34,2,FALSE),2) &amp; DEC2HEX(I53,3) &amp; DEC2HEX(VLOOKUP(G53,Common!$C$51:$D$55,2,FALSE),1) &amp; DEC2HEX(1+2*VLOOKUP(H53,Common!$C$69:$D$72,2,FALSE),1) &amp; DEC2HEX(IFERROR(LOG(J53,2),0),1),0)</f>
        <v>0x05003150</v>
      </c>
      <c r="L53" s="29" t="str">
        <f t="shared" si="5"/>
        <v>BM_PAD_MODE</v>
      </c>
      <c r="M53" t="s">
        <v>232</v>
      </c>
      <c r="N53" s="29">
        <v>1</v>
      </c>
      <c r="O53" s="29">
        <v>0</v>
      </c>
      <c r="P53" s="29">
        <v>1</v>
      </c>
      <c r="Q53" s="29"/>
      <c r="R53" s="29"/>
      <c r="T53"/>
    </row>
    <row r="54" spans="1:35" s="34" customFormat="1" x14ac:dyDescent="0.25">
      <c r="D54" s="40"/>
      <c r="E54" t="s">
        <v>223</v>
      </c>
      <c r="F54" s="3" t="s">
        <v>204</v>
      </c>
      <c r="G54" s="3" t="s">
        <v>48</v>
      </c>
      <c r="H54" s="3" t="s">
        <v>50</v>
      </c>
      <c r="I54" s="33">
        <f t="shared" si="4"/>
        <v>4</v>
      </c>
      <c r="J54" s="29">
        <v>2</v>
      </c>
      <c r="K54" s="10" t="str">
        <f xml:space="preserve"> IFERROR("0x" &amp; DEC2HEX(VLOOKUP(F54,Common!$C$10:$D$34,2,FALSE),2) &amp; DEC2HEX(I54,3) &amp; DEC2HEX(VLOOKUP(G54,Common!$C$51:$D$55,2,FALSE),1) &amp; DEC2HEX(1+2*VLOOKUP(H54,Common!$C$69:$D$72,2,FALSE),1) &amp; DEC2HEX(IFERROR(LOG(J54,2),0),1),0)</f>
        <v>0x05004151</v>
      </c>
      <c r="L54" s="29" t="str">
        <f t="shared" si="5"/>
        <v>BM_SIGNAL_PERIOD</v>
      </c>
      <c r="M54" t="s">
        <v>224</v>
      </c>
      <c r="N54" s="29">
        <v>2000</v>
      </c>
      <c r="O54" s="29">
        <v>500</v>
      </c>
      <c r="P54" s="29">
        <v>10000</v>
      </c>
      <c r="Q54" s="29" t="s">
        <v>229</v>
      </c>
      <c r="R54" s="29"/>
      <c r="T54"/>
    </row>
    <row r="55" spans="1:35" s="34" customFormat="1" x14ac:dyDescent="0.25">
      <c r="D55" s="40"/>
      <c r="E55" t="s">
        <v>225</v>
      </c>
      <c r="F55" s="3" t="s">
        <v>204</v>
      </c>
      <c r="G55" s="3" t="s">
        <v>48</v>
      </c>
      <c r="H55" s="3" t="s">
        <v>50</v>
      </c>
      <c r="I55" s="33">
        <f t="shared" si="4"/>
        <v>6</v>
      </c>
      <c r="J55" s="29">
        <v>2</v>
      </c>
      <c r="K55" s="10" t="str">
        <f xml:space="preserve"> IFERROR("0x" &amp; DEC2HEX(VLOOKUP(F55,Common!$C$10:$D$34,2,FALSE),2) &amp; DEC2HEX(I55,3) &amp; DEC2HEX(VLOOKUP(G55,Common!$C$51:$D$55,2,FALSE),1) &amp; DEC2HEX(1+2*VLOOKUP(H55,Common!$C$69:$D$72,2,FALSE),1) &amp; DEC2HEX(IFERROR(LOG(J55,2),0),1),0)</f>
        <v>0x05006151</v>
      </c>
      <c r="L55" s="29" t="str">
        <f t="shared" si="5"/>
        <v>BM_SIGNAL_BASE</v>
      </c>
      <c r="M55" t="s">
        <v>227</v>
      </c>
      <c r="N55" s="29">
        <v>1750</v>
      </c>
      <c r="O55" s="29">
        <v>0</v>
      </c>
      <c r="P55" s="29">
        <v>3300</v>
      </c>
      <c r="Q55" s="29" t="s">
        <v>230</v>
      </c>
      <c r="R55" s="3"/>
      <c r="T55"/>
    </row>
    <row r="56" spans="1:35" s="34" customFormat="1" x14ac:dyDescent="0.25">
      <c r="D56" s="40"/>
      <c r="E56" t="s">
        <v>226</v>
      </c>
      <c r="F56" s="3" t="s">
        <v>204</v>
      </c>
      <c r="G56" s="3" t="s">
        <v>48</v>
      </c>
      <c r="H56" s="3" t="s">
        <v>50</v>
      </c>
      <c r="I56" s="33">
        <f t="shared" si="4"/>
        <v>8</v>
      </c>
      <c r="J56" s="29">
        <v>2</v>
      </c>
      <c r="K56" s="10" t="str">
        <f xml:space="preserve"> IFERROR("0x" &amp; DEC2HEX(VLOOKUP(F56,Common!$C$10:$D$34,2,FALSE),2) &amp; DEC2HEX(I56,3) &amp; DEC2HEX(VLOOKUP(G56,Common!$C$51:$D$55,2,FALSE),1) &amp; DEC2HEX(1+2*VLOOKUP(H56,Common!$C$69:$D$72,2,FALSE),1) &amp; DEC2HEX(IFERROR(LOG(J56,2),0),1),0)</f>
        <v>0x05008151</v>
      </c>
      <c r="L56" s="29" t="str">
        <f t="shared" si="5"/>
        <v>BM_SIGNAL_AMPLITUDE</v>
      </c>
      <c r="M56" s="34" t="s">
        <v>228</v>
      </c>
      <c r="N56" s="29">
        <v>50</v>
      </c>
      <c r="O56" s="29">
        <v>0</v>
      </c>
      <c r="P56" s="29">
        <v>1500</v>
      </c>
      <c r="Q56" s="29" t="s">
        <v>230</v>
      </c>
      <c r="R56" s="29"/>
      <c r="S56" s="29"/>
      <c r="T56"/>
    </row>
    <row r="57" spans="1:35" s="34" customFormat="1" x14ac:dyDescent="0.25">
      <c r="D57" s="40"/>
      <c r="E57" t="s">
        <v>280</v>
      </c>
      <c r="F57" s="3" t="s">
        <v>204</v>
      </c>
      <c r="G57" s="3" t="s">
        <v>48</v>
      </c>
      <c r="H57" s="3" t="s">
        <v>50</v>
      </c>
      <c r="I57" s="33">
        <f t="shared" ref="I57:I62" si="6" xml:space="preserve"> I56+J56</f>
        <v>10</v>
      </c>
      <c r="J57" s="29">
        <v>2</v>
      </c>
      <c r="K57" s="10" t="str">
        <f xml:space="preserve"> IFERROR("0x" &amp; DEC2HEX(VLOOKUP(F57,Common!$C$10:$D$34,2,FALSE),2) &amp; DEC2HEX(I57,3) &amp; DEC2HEX(VLOOKUP(G57,Common!$C$51:$D$55,2,FALSE),1) &amp; DEC2HEX(1+2*VLOOKUP(H57,Common!$C$69:$D$72,2,FALSE),1) &amp; DEC2HEX(IFERROR(LOG(J57,2),0),1),0)</f>
        <v>0x0500A151</v>
      </c>
      <c r="L57" s="29" t="str">
        <f t="shared" ref="L57:L60" si="7">IF(AND(LEN(E57)&lt;&gt;0,S57=""),F57&amp;"_"&amp;UPPER(E57),"")</f>
        <v>BM_POWER_0</v>
      </c>
      <c r="M57" t="s">
        <v>286</v>
      </c>
      <c r="N57" s="29">
        <v>0</v>
      </c>
      <c r="O57" s="29"/>
      <c r="P57" s="29"/>
      <c r="Q57" s="3"/>
      <c r="R57" s="29"/>
      <c r="S57" s="29"/>
      <c r="T57"/>
    </row>
    <row r="58" spans="1:35" s="34" customFormat="1" x14ac:dyDescent="0.25">
      <c r="D58" s="40"/>
      <c r="E58" t="s">
        <v>281</v>
      </c>
      <c r="F58" s="3" t="s">
        <v>204</v>
      </c>
      <c r="G58" s="3" t="s">
        <v>48</v>
      </c>
      <c r="H58" s="3" t="s">
        <v>50</v>
      </c>
      <c r="I58" s="33">
        <f t="shared" si="6"/>
        <v>12</v>
      </c>
      <c r="J58" s="29">
        <v>2</v>
      </c>
      <c r="K58" s="10" t="str">
        <f xml:space="preserve"> IFERROR("0x" &amp; DEC2HEX(VLOOKUP(F58,Common!$C$10:$D$34,2,FALSE),2) &amp; DEC2HEX(I58,3) &amp; DEC2HEX(VLOOKUP(G58,Common!$C$51:$D$55,2,FALSE),1) &amp; DEC2HEX(1+2*VLOOKUP(H58,Common!$C$69:$D$72,2,FALSE),1) &amp; DEC2HEX(IFERROR(LOG(J58,2),0),1),0)</f>
        <v>0x0500C151</v>
      </c>
      <c r="L58" s="29" t="str">
        <f t="shared" si="7"/>
        <v>BM_POWER_1</v>
      </c>
      <c r="M58" t="s">
        <v>287</v>
      </c>
      <c r="N58" s="29">
        <v>0</v>
      </c>
      <c r="O58" s="29"/>
      <c r="P58" s="29"/>
      <c r="Q58" s="3"/>
      <c r="R58" s="29"/>
      <c r="T58"/>
    </row>
    <row r="59" spans="1:35" s="34" customFormat="1" x14ac:dyDescent="0.25">
      <c r="D59" s="40"/>
      <c r="E59" t="s">
        <v>282</v>
      </c>
      <c r="F59" s="3" t="s">
        <v>204</v>
      </c>
      <c r="G59" s="3" t="s">
        <v>48</v>
      </c>
      <c r="H59" s="3" t="s">
        <v>50</v>
      </c>
      <c r="I59" s="33">
        <f t="shared" si="6"/>
        <v>14</v>
      </c>
      <c r="J59" s="29">
        <v>2</v>
      </c>
      <c r="K59" s="10" t="str">
        <f xml:space="preserve"> IFERROR("0x" &amp; DEC2HEX(VLOOKUP(F59,Common!$C$10:$D$34,2,FALSE),2) &amp; DEC2HEX(I59,3) &amp; DEC2HEX(VLOOKUP(G59,Common!$C$51:$D$55,2,FALSE),1) &amp; DEC2HEX(1+2*VLOOKUP(H59,Common!$C$69:$D$72,2,FALSE),1) &amp; DEC2HEX(IFERROR(LOG(J59,2),0),1),0)</f>
        <v>0x0500E151</v>
      </c>
      <c r="L59" s="29" t="str">
        <f t="shared" si="7"/>
        <v>BM_ALARM_0</v>
      </c>
      <c r="M59" t="s">
        <v>284</v>
      </c>
      <c r="N59" s="29">
        <v>0</v>
      </c>
      <c r="O59" s="3"/>
      <c r="P59" s="29"/>
      <c r="Q59" s="3"/>
      <c r="R59" s="3"/>
      <c r="T59"/>
    </row>
    <row r="60" spans="1:35" s="34" customFormat="1" x14ac:dyDescent="0.25">
      <c r="D60" s="40"/>
      <c r="E60" t="s">
        <v>283</v>
      </c>
      <c r="F60" s="3" t="s">
        <v>204</v>
      </c>
      <c r="G60" s="3" t="s">
        <v>48</v>
      </c>
      <c r="H60" s="3" t="s">
        <v>50</v>
      </c>
      <c r="I60" s="33">
        <f t="shared" si="6"/>
        <v>16</v>
      </c>
      <c r="J60" s="29">
        <v>2</v>
      </c>
      <c r="K60" s="10" t="str">
        <f xml:space="preserve"> IFERROR("0x" &amp; DEC2HEX(VLOOKUP(F60,Common!$C$10:$D$34,2,FALSE),2) &amp; DEC2HEX(I60,3) &amp; DEC2HEX(VLOOKUP(G60,Common!$C$51:$D$55,2,FALSE),1) &amp; DEC2HEX(1+2*VLOOKUP(H60,Common!$C$69:$D$72,2,FALSE),1) &amp; DEC2HEX(IFERROR(LOG(J60,2),0),1),0)</f>
        <v>0x05010151</v>
      </c>
      <c r="L60" s="29" t="str">
        <f t="shared" si="7"/>
        <v>BM_ALARM_1</v>
      </c>
      <c r="M60" t="s">
        <v>285</v>
      </c>
      <c r="N60" s="29">
        <v>0</v>
      </c>
      <c r="O60" s="3"/>
      <c r="P60" s="29"/>
      <c r="Q60" s="3"/>
      <c r="R60" s="3"/>
      <c r="T60"/>
    </row>
    <row r="61" spans="1:35" s="34" customFormat="1" x14ac:dyDescent="0.25">
      <c r="D61" s="40"/>
      <c r="E61" t="s">
        <v>288</v>
      </c>
      <c r="F61" s="3" t="s">
        <v>204</v>
      </c>
      <c r="G61" s="3" t="s">
        <v>48</v>
      </c>
      <c r="H61" s="3" t="s">
        <v>50</v>
      </c>
      <c r="I61" s="33">
        <f t="shared" si="6"/>
        <v>18</v>
      </c>
      <c r="J61" s="29">
        <v>2</v>
      </c>
      <c r="K61" s="10" t="str">
        <f xml:space="preserve"> IFERROR("0x" &amp; DEC2HEX(VLOOKUP(F61,Common!$C$10:$D$34,2,FALSE),2) &amp; DEC2HEX(I61,3) &amp; DEC2HEX(VLOOKUP(G61,Common!$C$51:$D$55,2,FALSE),1) &amp; DEC2HEX(1+2*VLOOKUP(H61,Common!$C$69:$D$72,2,FALSE),1) &amp; DEC2HEX(IFERROR(LOG(J61,2),0),1),0)</f>
        <v>0x05012151</v>
      </c>
      <c r="L61" s="29" t="str">
        <f t="shared" ref="L61:L62" si="8">IF(AND(LEN(E61)&lt;&gt;0,S61=""),F61&amp;"_"&amp;UPPER(E61),"")</f>
        <v>BM_SYNC_EN</v>
      </c>
      <c r="M61" t="s">
        <v>290</v>
      </c>
      <c r="N61" s="29">
        <v>1</v>
      </c>
      <c r="O61" s="3"/>
      <c r="P61" s="29"/>
      <c r="Q61" s="3"/>
      <c r="R61" s="3"/>
      <c r="T61"/>
    </row>
    <row r="62" spans="1:35" s="34" customFormat="1" x14ac:dyDescent="0.25">
      <c r="D62" s="40"/>
      <c r="E62" t="s">
        <v>289</v>
      </c>
      <c r="F62" s="3" t="s">
        <v>204</v>
      </c>
      <c r="G62" s="3" t="s">
        <v>48</v>
      </c>
      <c r="H62" s="3" t="s">
        <v>50</v>
      </c>
      <c r="I62" s="33">
        <f t="shared" si="6"/>
        <v>20</v>
      </c>
      <c r="J62" s="29">
        <v>2</v>
      </c>
      <c r="K62" s="10" t="str">
        <f xml:space="preserve"> IFERROR("0x" &amp; DEC2HEX(VLOOKUP(F62,Common!$C$10:$D$34,2,FALSE),2) &amp; DEC2HEX(I62,3) &amp; DEC2HEX(VLOOKUP(G62,Common!$C$51:$D$55,2,FALSE),1) &amp; DEC2HEX(1+2*VLOOKUP(H62,Common!$C$69:$D$72,2,FALSE),1) &amp; DEC2HEX(IFERROR(LOG(J62,2),0),1),0)</f>
        <v>0x05014151</v>
      </c>
      <c r="L62" s="29" t="str">
        <f t="shared" si="8"/>
        <v>BM_SYNC_OFF</v>
      </c>
      <c r="M62" t="s">
        <v>291</v>
      </c>
      <c r="N62" s="29">
        <v>5000</v>
      </c>
      <c r="O62" s="3"/>
      <c r="P62" s="29"/>
      <c r="Q62" s="3"/>
      <c r="R62" s="3"/>
      <c r="T62"/>
    </row>
    <row r="63" spans="1:35" s="10" customFormat="1" x14ac:dyDescent="0.25">
      <c r="A63" s="12"/>
      <c r="B63" s="12"/>
      <c r="C63" s="12"/>
      <c r="D63"/>
      <c r="E63"/>
      <c r="F63" s="3"/>
      <c r="G63" s="3"/>
      <c r="H63" s="3"/>
      <c r="I63" s="33"/>
      <c r="J63" s="3"/>
      <c r="K63" s="3"/>
      <c r="L63" s="29"/>
      <c r="M63"/>
      <c r="N63" s="29"/>
      <c r="O63" s="3"/>
      <c r="P63" s="3"/>
      <c r="Q63" s="3"/>
      <c r="R63" s="3"/>
      <c r="S63" s="34"/>
      <c r="T63"/>
      <c r="U63"/>
      <c r="V63"/>
      <c r="W63"/>
      <c r="X63"/>
      <c r="Y63"/>
      <c r="Z63" s="12"/>
      <c r="AA63" s="12"/>
      <c r="AB63" s="12"/>
      <c r="AC63" s="12"/>
      <c r="AD63" s="12"/>
      <c r="AE63" s="12"/>
      <c r="AF63" s="12"/>
      <c r="AG63" s="12"/>
      <c r="AH63" s="12"/>
      <c r="AI63" s="12"/>
    </row>
    <row r="64" spans="1:35" s="10" customFormat="1" x14ac:dyDescent="0.25">
      <c r="A64" s="12"/>
      <c r="B64" s="12"/>
      <c r="C64" s="12"/>
      <c r="D64"/>
      <c r="E64" s="24"/>
      <c r="F64" s="23"/>
      <c r="G64" s="23"/>
      <c r="H64" s="26"/>
      <c r="I64" s="22"/>
      <c r="J64" s="22"/>
      <c r="K64" s="22"/>
      <c r="L64" s="22"/>
      <c r="M64" s="21"/>
      <c r="N64" s="22"/>
      <c r="O64" s="22"/>
      <c r="P64" s="22"/>
      <c r="Q64" s="23"/>
      <c r="R64" s="23"/>
      <c r="S64" s="22"/>
      <c r="T64" s="21"/>
      <c r="U64"/>
      <c r="V64"/>
      <c r="W64"/>
      <c r="X64"/>
      <c r="Y64"/>
      <c r="Z64" s="12"/>
      <c r="AA64" s="12"/>
      <c r="AB64" s="12"/>
      <c r="AC64" s="12"/>
      <c r="AD64" s="12"/>
      <c r="AE64" s="12"/>
      <c r="AF64" s="12"/>
      <c r="AG64" s="12"/>
      <c r="AH64" s="12"/>
      <c r="AI64" s="12"/>
    </row>
    <row r="65" spans="1:35" s="34" customFormat="1" x14ac:dyDescent="0.25">
      <c r="D65" s="40"/>
      <c r="E65" s="2" t="s">
        <v>196</v>
      </c>
      <c r="F65" s="3" t="s">
        <v>197</v>
      </c>
      <c r="G65" s="3" t="s">
        <v>48</v>
      </c>
      <c r="H65" s="3" t="s">
        <v>45</v>
      </c>
      <c r="I65" s="29">
        <v>0</v>
      </c>
      <c r="J65" s="29">
        <v>4</v>
      </c>
      <c r="K65" s="10" t="str">
        <f xml:space="preserve"> IFERROR("0x" &amp; DEC2HEX(VLOOKUP(F65,Common!$C$10:$D$34,2,FALSE),2) &amp; DEC2HEX(I65,3) &amp; DEC2HEX(VLOOKUP(G65,Common!$C$51:$D$55,2,FALSE),1) &amp; DEC2HEX(1+2*VLOOKUP(H65,Common!$C$69:$D$72,2,FALSE),1) &amp; DEC2HEX(IFERROR(LOG(J65,2),0),1),0)</f>
        <v>0x06000112</v>
      </c>
      <c r="L65" s="29" t="str">
        <f>IF(AND(LEN(E65)&lt;&gt;0,S65=""),F65&amp;"_"&amp;UPPER(E65),"")</f>
        <v>DBG_WRITES_CONF</v>
      </c>
      <c r="M65" t="s">
        <v>198</v>
      </c>
      <c r="N65" s="29"/>
      <c r="O65" s="29">
        <v>0</v>
      </c>
      <c r="P65" s="29">
        <v>1000000</v>
      </c>
      <c r="Q65" s="3" t="s">
        <v>199</v>
      </c>
      <c r="R65" s="29"/>
      <c r="S65" s="29"/>
      <c r="T65" t="s">
        <v>200</v>
      </c>
    </row>
    <row r="66" spans="1:35" s="10" customFormat="1" x14ac:dyDescent="0.25">
      <c r="A66" s="12"/>
      <c r="B66" s="12"/>
      <c r="C66" s="12"/>
      <c r="D66"/>
      <c r="E66" s="24"/>
      <c r="F66" s="23"/>
      <c r="G66" s="23"/>
      <c r="H66" s="26"/>
      <c r="I66" s="22"/>
      <c r="J66" s="22"/>
      <c r="K66" s="22"/>
      <c r="L66" s="22"/>
      <c r="M66" s="21"/>
      <c r="N66" s="22"/>
      <c r="O66" s="22"/>
      <c r="P66" s="22"/>
      <c r="Q66" s="23"/>
      <c r="R66" s="23"/>
      <c r="S66" s="22"/>
      <c r="T66" s="21"/>
      <c r="U66"/>
      <c r="V66"/>
      <c r="W66"/>
      <c r="X66"/>
      <c r="Y66"/>
      <c r="Z66" s="12"/>
      <c r="AA66" s="12"/>
      <c r="AB66" s="12"/>
      <c r="AC66" s="12"/>
      <c r="AD66" s="12"/>
      <c r="AE66" s="12"/>
      <c r="AF66" s="12"/>
      <c r="AG66" s="12"/>
      <c r="AH66" s="12"/>
      <c r="AI66" s="12"/>
    </row>
    <row r="67" spans="1:35" s="10" customFormat="1" x14ac:dyDescent="0.25">
      <c r="A67" s="12"/>
      <c r="B67" s="12"/>
      <c r="C67" s="12"/>
      <c r="D67"/>
      <c r="E67" s="24"/>
      <c r="F67" s="23"/>
      <c r="G67" s="23"/>
      <c r="H67" s="26"/>
      <c r="I67" s="22"/>
      <c r="J67" s="22"/>
      <c r="K67" s="22"/>
      <c r="L67" s="22"/>
      <c r="M67" s="21"/>
      <c r="N67" s="22"/>
      <c r="O67" s="22"/>
      <c r="P67" s="22"/>
      <c r="Q67" s="23"/>
      <c r="R67" s="23"/>
      <c r="S67" s="22"/>
      <c r="T67" s="21"/>
      <c r="U67"/>
      <c r="V67"/>
      <c r="W67"/>
      <c r="X67"/>
      <c r="Y67"/>
      <c r="Z67" s="12"/>
      <c r="AA67" s="12"/>
      <c r="AB67" s="12"/>
      <c r="AC67" s="12"/>
      <c r="AD67" s="12"/>
      <c r="AE67" s="12"/>
      <c r="AF67" s="12"/>
      <c r="AG67" s="12"/>
      <c r="AH67" s="12"/>
      <c r="AI67" s="12"/>
    </row>
    <row r="68" spans="1:35" s="10" customFormat="1" x14ac:dyDescent="0.25">
      <c r="A68" s="12"/>
      <c r="B68" s="12"/>
      <c r="C68" s="12"/>
      <c r="D68"/>
      <c r="E68" s="24" t="s">
        <v>165</v>
      </c>
      <c r="F68" s="23" t="s">
        <v>244</v>
      </c>
      <c r="G68" s="23" t="s">
        <v>114</v>
      </c>
      <c r="H68" s="26" t="s">
        <v>50</v>
      </c>
      <c r="I68" s="28">
        <f t="shared" ref="I68:I74" si="9">I67+J67</f>
        <v>0</v>
      </c>
      <c r="J68" s="22">
        <v>1</v>
      </c>
      <c r="K68" s="10" t="str">
        <f xml:space="preserve"> IFERROR("0x" &amp; DEC2HEX(VLOOKUP(F68,Common!$C$10:$D$34,2,FALSE),2) &amp; DEC2HEX(I68,3) &amp; DEC2HEX(VLOOKUP(G68,Common!$C$51:$D$55,2,FALSE),1) &amp; DEC2HEX(1+2*VLOOKUP(H68,Common!$C$69:$D$72,2,FALSE),1) &amp; DEC2HEX(IFERROR(LOG(J68,2),0),1),0)</f>
        <v>0x07000550</v>
      </c>
      <c r="L68" s="29" t="str">
        <f>IF(AND(LEN(E68)&lt;&gt;0,S106=""),F68&amp;"_"&amp;UPPER(E68),"")</f>
        <v>PAD_COMMAND</v>
      </c>
      <c r="M68" s="21" t="s">
        <v>275</v>
      </c>
      <c r="N68" s="22"/>
      <c r="O68" s="22"/>
      <c r="P68" s="22"/>
      <c r="Q68" s="23"/>
      <c r="R68" s="23"/>
      <c r="S68" s="22"/>
      <c r="T68" s="21"/>
      <c r="U68"/>
      <c r="V68"/>
      <c r="W68"/>
      <c r="X68"/>
      <c r="Y68"/>
      <c r="Z68" s="12"/>
      <c r="AA68" s="12"/>
      <c r="AB68" s="12"/>
      <c r="AC68" s="12"/>
      <c r="AD68" s="12"/>
      <c r="AE68" s="12"/>
      <c r="AF68" s="12"/>
      <c r="AG68" s="12"/>
      <c r="AH68" s="12"/>
      <c r="AI68" s="12"/>
    </row>
    <row r="69" spans="1:35" s="10" customFormat="1" x14ac:dyDescent="0.25">
      <c r="A69" s="12"/>
      <c r="B69" s="12"/>
      <c r="C69" s="12"/>
      <c r="D69"/>
      <c r="E69" s="24"/>
      <c r="F69" s="23" t="s">
        <v>244</v>
      </c>
      <c r="G69" s="23"/>
      <c r="H69" s="26"/>
      <c r="I69" s="28">
        <f t="shared" si="9"/>
        <v>1</v>
      </c>
      <c r="J69" s="22"/>
      <c r="K69" s="10">
        <v>0</v>
      </c>
      <c r="L69" s="29" t="s">
        <v>272</v>
      </c>
      <c r="M69" s="21" t="s">
        <v>276</v>
      </c>
      <c r="N69" s="22"/>
      <c r="O69" s="22"/>
      <c r="P69" s="22"/>
      <c r="Q69" s="23"/>
      <c r="R69" s="23"/>
      <c r="S69" s="22"/>
      <c r="T69" s="21"/>
      <c r="U69"/>
      <c r="V69"/>
      <c r="W69"/>
      <c r="X69"/>
      <c r="Y69"/>
      <c r="Z69" s="12"/>
      <c r="AA69" s="12"/>
      <c r="AB69" s="12"/>
      <c r="AC69" s="12"/>
      <c r="AD69" s="12"/>
      <c r="AE69" s="12"/>
      <c r="AF69" s="12"/>
      <c r="AG69" s="12"/>
      <c r="AH69" s="12"/>
      <c r="AI69" s="12"/>
    </row>
    <row r="70" spans="1:35" s="10" customFormat="1" x14ac:dyDescent="0.25">
      <c r="A70" s="12"/>
      <c r="B70" s="12"/>
      <c r="C70" s="12"/>
      <c r="D70"/>
      <c r="E70" s="24"/>
      <c r="F70" s="23" t="s">
        <v>244</v>
      </c>
      <c r="G70" s="23"/>
      <c r="H70" s="26"/>
      <c r="I70" s="28">
        <f t="shared" si="9"/>
        <v>1</v>
      </c>
      <c r="J70" s="22"/>
      <c r="K70" s="10">
        <v>0</v>
      </c>
      <c r="L70" s="29" t="s">
        <v>273</v>
      </c>
      <c r="M70" s="21" t="s">
        <v>278</v>
      </c>
      <c r="N70" s="22"/>
      <c r="O70" s="22"/>
      <c r="P70" s="22"/>
      <c r="Q70" s="23"/>
      <c r="R70" s="23"/>
      <c r="S70" s="22"/>
      <c r="T70" s="21"/>
      <c r="U70"/>
      <c r="V70"/>
      <c r="W70"/>
      <c r="X70"/>
      <c r="Y70"/>
      <c r="Z70" s="12"/>
      <c r="AA70" s="12"/>
      <c r="AB70" s="12"/>
      <c r="AC70" s="12"/>
      <c r="AD70" s="12"/>
      <c r="AE70" s="12"/>
      <c r="AF70" s="12"/>
      <c r="AG70" s="12"/>
      <c r="AH70" s="12"/>
      <c r="AI70" s="12"/>
    </row>
    <row r="71" spans="1:35" s="10" customFormat="1" x14ac:dyDescent="0.25">
      <c r="A71" s="12"/>
      <c r="B71" s="12"/>
      <c r="C71" s="12"/>
      <c r="D71"/>
      <c r="E71" s="24"/>
      <c r="F71" s="23" t="s">
        <v>244</v>
      </c>
      <c r="G71" s="23"/>
      <c r="H71" s="26"/>
      <c r="I71" s="28">
        <f t="shared" si="9"/>
        <v>1</v>
      </c>
      <c r="J71" s="22"/>
      <c r="K71" s="10">
        <v>0</v>
      </c>
      <c r="L71" s="29" t="s">
        <v>274</v>
      </c>
      <c r="M71" s="21" t="s">
        <v>277</v>
      </c>
      <c r="N71" s="22"/>
      <c r="O71" s="22"/>
      <c r="P71" s="22"/>
      <c r="Q71" s="23"/>
      <c r="R71" s="23"/>
      <c r="S71" s="22"/>
      <c r="T71" s="21"/>
      <c r="U71"/>
      <c r="V71"/>
      <c r="W71"/>
      <c r="X71"/>
      <c r="Y71"/>
      <c r="Z71" s="12"/>
      <c r="AA71" s="12"/>
      <c r="AB71" s="12"/>
      <c r="AC71" s="12"/>
      <c r="AD71" s="12"/>
      <c r="AE71" s="12"/>
      <c r="AF71" s="12"/>
      <c r="AG71" s="12"/>
      <c r="AH71" s="12"/>
      <c r="AI71" s="12"/>
    </row>
    <row r="72" spans="1:35" s="10" customFormat="1" x14ac:dyDescent="0.25">
      <c r="A72" s="12"/>
      <c r="B72" s="12"/>
      <c r="C72" s="12"/>
      <c r="D72"/>
      <c r="E72" s="24" t="s">
        <v>271</v>
      </c>
      <c r="F72" s="23" t="s">
        <v>244</v>
      </c>
      <c r="G72" s="23" t="s">
        <v>48</v>
      </c>
      <c r="H72" s="26" t="s">
        <v>50</v>
      </c>
      <c r="I72" s="28">
        <f t="shared" si="9"/>
        <v>1</v>
      </c>
      <c r="J72" s="22">
        <v>1</v>
      </c>
      <c r="K72" s="10" t="str">
        <f xml:space="preserve"> IFERROR("0x" &amp; DEC2HEX(VLOOKUP(F72,Common!$C$10:$D$34,2,FALSE),2) &amp; DEC2HEX(I72,3) &amp; DEC2HEX(VLOOKUP(G72,Common!$C$51:$D$55,2,FALSE),1) &amp; DEC2HEX(1+2*VLOOKUP(H72,Common!$C$69:$D$72,2,FALSE),1) &amp; DEC2HEX(IFERROR(LOG(J72,2),0),1),0)</f>
        <v>0x07001150</v>
      </c>
      <c r="L72" s="29" t="str">
        <f t="shared" ref="L72:L73" si="10">IF(AND(LEN(E72)&lt;&gt;0,S107=""),F72&amp;"_"&amp;UPPER(E72),"")</f>
        <v>PAD_SELECT</v>
      </c>
      <c r="M72" s="21" t="s">
        <v>219</v>
      </c>
      <c r="N72" s="22"/>
      <c r="O72" s="22"/>
      <c r="P72" s="22"/>
      <c r="Q72" s="23"/>
      <c r="R72" s="23"/>
      <c r="S72" s="22"/>
      <c r="T72" s="21"/>
      <c r="U72"/>
      <c r="V72"/>
      <c r="W72"/>
      <c r="X72"/>
      <c r="Y72"/>
      <c r="Z72" s="12"/>
      <c r="AA72" s="12"/>
      <c r="AB72" s="12"/>
      <c r="AC72" s="12"/>
      <c r="AD72" s="12"/>
      <c r="AE72" s="12"/>
      <c r="AF72" s="12"/>
      <c r="AG72" s="12"/>
      <c r="AH72" s="12"/>
      <c r="AI72" s="12"/>
    </row>
    <row r="73" spans="1:35" s="10" customFormat="1" x14ac:dyDescent="0.25">
      <c r="A73" s="12"/>
      <c r="B73" s="12"/>
      <c r="C73" s="12"/>
      <c r="D73"/>
      <c r="E73" s="24" t="s">
        <v>195</v>
      </c>
      <c r="F73" s="23" t="s">
        <v>244</v>
      </c>
      <c r="G73" s="23" t="s">
        <v>48</v>
      </c>
      <c r="H73" s="26" t="s">
        <v>50</v>
      </c>
      <c r="I73" s="28">
        <f t="shared" si="9"/>
        <v>2</v>
      </c>
      <c r="J73" s="22">
        <v>2</v>
      </c>
      <c r="K73" s="10" t="str">
        <f xml:space="preserve"> IFERROR("0x" &amp; DEC2HEX(VLOOKUP(F73,Common!$C$10:$D$34,2,FALSE),2) &amp; DEC2HEX(I73,3) &amp; DEC2HEX(VLOOKUP(G73,Common!$C$51:$D$55,2,FALSE),1) &amp; DEC2HEX(1+2*VLOOKUP(H73,Common!$C$69:$D$72,2,FALSE),1) &amp; DEC2HEX(IFERROR(LOG(J73,2),0),1),0)</f>
        <v>0x07002151</v>
      </c>
      <c r="L73" s="29" t="str">
        <f t="shared" si="10"/>
        <v>PAD_RESERVED</v>
      </c>
      <c r="M73" s="21" t="s">
        <v>279</v>
      </c>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t="s">
        <v>9</v>
      </c>
      <c r="F74" s="23" t="s">
        <v>244</v>
      </c>
      <c r="G74" s="23" t="s">
        <v>48</v>
      </c>
      <c r="H74" s="26" t="s">
        <v>50</v>
      </c>
      <c r="I74" s="28">
        <f t="shared" si="9"/>
        <v>4</v>
      </c>
      <c r="J74" s="28">
        <v>4</v>
      </c>
      <c r="K74" s="10" t="str">
        <f xml:space="preserve"> IFERROR("0x" &amp; DEC2HEX(VLOOKUP(F74,Common!$C$10:$D$34,2,FALSE),2) &amp; DEC2HEX(I74,3) &amp; DEC2HEX(VLOOKUP(G74,Common!$C$51:$D$55,2,FALSE),1) &amp; DEC2HEX(1+2*VLOOKUP(H74,Common!$C$69:$D$72,2,FALSE),1) &amp; DEC2HEX(IFERROR(LOG(J74,2),0),1),0)</f>
        <v>0x07004152</v>
      </c>
      <c r="L74" s="29" t="str">
        <f t="shared" ref="L74:L86" si="11">IF(AND(LEN(E74)&lt;&gt;0,S109=""),F74&amp;"_"&amp;UPPER(E74),"")</f>
        <v>PAD_SERIAL_NUMBER</v>
      </c>
      <c r="M74" s="21" t="s">
        <v>253</v>
      </c>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25">
      <c r="A75" s="12"/>
      <c r="B75" s="12"/>
      <c r="C75" s="12"/>
      <c r="D75"/>
      <c r="E75" s="24" t="s">
        <v>233</v>
      </c>
      <c r="F75" s="23" t="s">
        <v>244</v>
      </c>
      <c r="G75" s="23" t="s">
        <v>48</v>
      </c>
      <c r="H75" s="26" t="s">
        <v>50</v>
      </c>
      <c r="I75" s="28">
        <f>I74+J74</f>
        <v>8</v>
      </c>
      <c r="J75" s="28">
        <v>4</v>
      </c>
      <c r="K75" s="10" t="str">
        <f xml:space="preserve"> IFERROR("0x" &amp; DEC2HEX(VLOOKUP(F75,Common!$C$10:$D$34,2,FALSE),2) &amp; DEC2HEX(I75,3) &amp; DEC2HEX(VLOOKUP(G75,Common!$C$51:$D$55,2,FALSE),1) &amp; DEC2HEX(1+2*VLOOKUP(H75,Common!$C$69:$D$72,2,FALSE),1) &amp; DEC2HEX(IFERROR(LOG(J75,2),0),1),0)</f>
        <v>0x07008152</v>
      </c>
      <c r="L75" s="29" t="str">
        <f t="shared" si="11"/>
        <v>PAD_LAST_CU_SN_WRITE_INDEX</v>
      </c>
      <c r="M75" s="21" t="s">
        <v>254</v>
      </c>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t="s">
        <v>234</v>
      </c>
      <c r="F76" s="23" t="s">
        <v>244</v>
      </c>
      <c r="G76" s="23" t="s">
        <v>48</v>
      </c>
      <c r="H76" s="26" t="s">
        <v>50</v>
      </c>
      <c r="I76" s="28">
        <f t="shared" ref="I76:I91" si="12">I75+J75</f>
        <v>12</v>
      </c>
      <c r="J76" s="28">
        <v>4</v>
      </c>
      <c r="K76" s="10" t="str">
        <f xml:space="preserve"> IFERROR("0x" &amp; DEC2HEX(VLOOKUP(F76,Common!$C$10:$D$34,2,FALSE),2) &amp; DEC2HEX(I76,3) &amp; DEC2HEX(VLOOKUP(G76,Common!$C$51:$D$55,2,FALSE),1) &amp; DEC2HEX(1+2*VLOOKUP(H76,Common!$C$69:$D$72,2,FALSE),1) &amp; DEC2HEX(IFERROR(LOG(J76,2),0),1),0)</f>
        <v>0x0700C152</v>
      </c>
      <c r="L76" s="29" t="str">
        <f t="shared" si="11"/>
        <v>PAD_CU_SN_INDEX0</v>
      </c>
      <c r="M76" s="21" t="s">
        <v>255</v>
      </c>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t="s">
        <v>235</v>
      </c>
      <c r="F77" s="23" t="s">
        <v>244</v>
      </c>
      <c r="G77" s="23" t="s">
        <v>48</v>
      </c>
      <c r="H77" s="26" t="s">
        <v>50</v>
      </c>
      <c r="I77" s="28">
        <f t="shared" si="12"/>
        <v>16</v>
      </c>
      <c r="J77" s="28">
        <v>4</v>
      </c>
      <c r="K77" s="10" t="str">
        <f xml:space="preserve"> IFERROR("0x" &amp; DEC2HEX(VLOOKUP(F77,Common!$C$10:$D$34,2,FALSE),2) &amp; DEC2HEX(I77,3) &amp; DEC2HEX(VLOOKUP(G77,Common!$C$51:$D$55,2,FALSE),1) &amp; DEC2HEX(1+2*VLOOKUP(H77,Common!$C$69:$D$72,2,FALSE),1) &amp; DEC2HEX(IFERROR(LOG(J77,2),0),1),0)</f>
        <v>0x07010152</v>
      </c>
      <c r="L77" s="29" t="str">
        <f t="shared" si="11"/>
        <v>PAD_CU_SN_INDEX1</v>
      </c>
      <c r="M77" s="21" t="s">
        <v>256</v>
      </c>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t="s">
        <v>236</v>
      </c>
      <c r="F78" s="23" t="s">
        <v>244</v>
      </c>
      <c r="G78" s="23" t="s">
        <v>48</v>
      </c>
      <c r="H78" s="26" t="s">
        <v>50</v>
      </c>
      <c r="I78" s="28">
        <f t="shared" si="12"/>
        <v>20</v>
      </c>
      <c r="J78" s="28">
        <v>4</v>
      </c>
      <c r="K78" s="10" t="str">
        <f xml:space="preserve"> IFERROR("0x" &amp; DEC2HEX(VLOOKUP(F78,Common!$C$10:$D$34,2,FALSE),2) &amp; DEC2HEX(I78,3) &amp; DEC2HEX(VLOOKUP(G78,Common!$C$51:$D$55,2,FALSE),1) &amp; DEC2HEX(1+2*VLOOKUP(H78,Common!$C$69:$D$72,2,FALSE),1) &amp; DEC2HEX(IFERROR(LOG(J78,2),0),1),0)</f>
        <v>0x07014152</v>
      </c>
      <c r="L78" s="29" t="str">
        <f t="shared" si="11"/>
        <v>PAD_CU_SN_INDEX2</v>
      </c>
      <c r="M78" s="21" t="s">
        <v>257</v>
      </c>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t="s">
        <v>237</v>
      </c>
      <c r="F79" s="23" t="s">
        <v>244</v>
      </c>
      <c r="G79" s="23" t="s">
        <v>48</v>
      </c>
      <c r="H79" s="26" t="s">
        <v>50</v>
      </c>
      <c r="I79" s="28">
        <f t="shared" si="12"/>
        <v>24</v>
      </c>
      <c r="J79" s="28">
        <v>4</v>
      </c>
      <c r="K79" s="10" t="str">
        <f xml:space="preserve"> IFERROR("0x" &amp; DEC2HEX(VLOOKUP(F79,Common!$C$10:$D$34,2,FALSE),2) &amp; DEC2HEX(I79,3) &amp; DEC2HEX(VLOOKUP(G79,Common!$C$51:$D$55,2,FALSE),1) &amp; DEC2HEX(1+2*VLOOKUP(H79,Common!$C$69:$D$72,2,FALSE),1) &amp; DEC2HEX(IFERROR(LOG(J79,2),0),1),0)</f>
        <v>0x07018152</v>
      </c>
      <c r="L79" s="29" t="str">
        <f t="shared" si="11"/>
        <v>PAD_CU_SN_INDEX3</v>
      </c>
      <c r="M79" s="21" t="s">
        <v>258</v>
      </c>
      <c r="N79" s="22"/>
      <c r="O79" s="22"/>
      <c r="P79" s="22"/>
      <c r="Q79" s="23"/>
      <c r="R79" s="23"/>
      <c r="S79" s="22"/>
      <c r="T79" s="21"/>
      <c r="U79"/>
      <c r="V79"/>
      <c r="W79"/>
      <c r="X79"/>
      <c r="Y79"/>
      <c r="Z79" s="12"/>
      <c r="AA79" s="12"/>
      <c r="AB79" s="12"/>
      <c r="AC79" s="12"/>
      <c r="AD79" s="12"/>
      <c r="AE79" s="12"/>
      <c r="AF79" s="12"/>
      <c r="AG79" s="12"/>
      <c r="AH79" s="12"/>
      <c r="AI79" s="12"/>
    </row>
    <row r="80" spans="1:35" s="10" customFormat="1" x14ac:dyDescent="0.25">
      <c r="A80" s="12"/>
      <c r="B80" s="12"/>
      <c r="C80" s="12"/>
      <c r="D80"/>
      <c r="E80" s="24" t="s">
        <v>238</v>
      </c>
      <c r="F80" s="23" t="s">
        <v>244</v>
      </c>
      <c r="G80" s="23" t="s">
        <v>48</v>
      </c>
      <c r="H80" s="26" t="s">
        <v>50</v>
      </c>
      <c r="I80" s="28">
        <f t="shared" si="12"/>
        <v>28</v>
      </c>
      <c r="J80" s="28">
        <v>4</v>
      </c>
      <c r="K80" s="10" t="str">
        <f xml:space="preserve"> IFERROR("0x" &amp; DEC2HEX(VLOOKUP(F80,Common!$C$10:$D$34,2,FALSE),2) &amp; DEC2HEX(I80,3) &amp; DEC2HEX(VLOOKUP(G80,Common!$C$51:$D$55,2,FALSE),1) &amp; DEC2HEX(1+2*VLOOKUP(H80,Common!$C$69:$D$72,2,FALSE),1) &amp; DEC2HEX(IFERROR(LOG(J80,2),0),1),0)</f>
        <v>0x0701C152</v>
      </c>
      <c r="L80" s="29" t="str">
        <f t="shared" si="11"/>
        <v>PAD_CU_SN_INDEX4</v>
      </c>
      <c r="M80" s="21" t="s">
        <v>259</v>
      </c>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t="s">
        <v>239</v>
      </c>
      <c r="F81" s="23" t="s">
        <v>244</v>
      </c>
      <c r="G81" s="23" t="s">
        <v>48</v>
      </c>
      <c r="H81" s="26" t="s">
        <v>50</v>
      </c>
      <c r="I81" s="28">
        <f t="shared" si="12"/>
        <v>32</v>
      </c>
      <c r="J81" s="28">
        <v>4</v>
      </c>
      <c r="K81" s="10" t="str">
        <f xml:space="preserve"> IFERROR("0x" &amp; DEC2HEX(VLOOKUP(F81,Common!$C$10:$D$34,2,FALSE),2) &amp; DEC2HEX(I81,3) &amp; DEC2HEX(VLOOKUP(G81,Common!$C$51:$D$55,2,FALSE),1) &amp; DEC2HEX(1+2*VLOOKUP(H81,Common!$C$69:$D$72,2,FALSE),1) &amp; DEC2HEX(IFERROR(LOG(J81,2),0),1),0)</f>
        <v>0x07020152</v>
      </c>
      <c r="L81" s="29" t="str">
        <f t="shared" si="11"/>
        <v>PAD_CU_SN_INDEX5</v>
      </c>
      <c r="M81" s="21" t="s">
        <v>260</v>
      </c>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25">
      <c r="A82" s="12"/>
      <c r="B82" s="12"/>
      <c r="C82" s="12"/>
      <c r="D82"/>
      <c r="E82" s="24" t="s">
        <v>240</v>
      </c>
      <c r="F82" s="23" t="s">
        <v>244</v>
      </c>
      <c r="G82" s="23" t="s">
        <v>48</v>
      </c>
      <c r="H82" s="26" t="s">
        <v>50</v>
      </c>
      <c r="I82" s="28">
        <f t="shared" si="12"/>
        <v>36</v>
      </c>
      <c r="J82" s="28">
        <v>4</v>
      </c>
      <c r="K82" s="10" t="str">
        <f xml:space="preserve"> IFERROR("0x" &amp; DEC2HEX(VLOOKUP(F82,Common!$C$10:$D$34,2,FALSE),2) &amp; DEC2HEX(I82,3) &amp; DEC2HEX(VLOOKUP(G82,Common!$C$51:$D$55,2,FALSE),1) &amp; DEC2HEX(1+2*VLOOKUP(H82,Common!$C$69:$D$72,2,FALSE),1) &amp; DEC2HEX(IFERROR(LOG(J82,2),0),1),0)</f>
        <v>0x07024152</v>
      </c>
      <c r="L82" s="29" t="str">
        <f t="shared" si="11"/>
        <v>PAD_CU_SN_INDEX6</v>
      </c>
      <c r="M82" s="21" t="s">
        <v>261</v>
      </c>
      <c r="N82" s="22"/>
      <c r="O82" s="22"/>
      <c r="P82" s="22"/>
      <c r="Q82" s="23"/>
      <c r="R82" s="23"/>
      <c r="S82" s="22"/>
      <c r="T82" s="21"/>
      <c r="U82"/>
      <c r="V82"/>
      <c r="W82"/>
      <c r="X82"/>
      <c r="Y82"/>
      <c r="Z82" s="12"/>
      <c r="AA82" s="12"/>
      <c r="AB82" s="12"/>
      <c r="AC82" s="12"/>
      <c r="AD82" s="12"/>
      <c r="AE82" s="12"/>
      <c r="AF82" s="12"/>
      <c r="AG82" s="12"/>
      <c r="AH82" s="12"/>
      <c r="AI82" s="12"/>
    </row>
    <row r="83" spans="1:35" s="10" customFormat="1" x14ac:dyDescent="0.25">
      <c r="A83" s="12"/>
      <c r="B83" s="12"/>
      <c r="C83" s="12"/>
      <c r="D83"/>
      <c r="E83" s="24" t="s">
        <v>241</v>
      </c>
      <c r="F83" s="23" t="s">
        <v>244</v>
      </c>
      <c r="G83" s="23" t="s">
        <v>48</v>
      </c>
      <c r="H83" s="26" t="s">
        <v>50</v>
      </c>
      <c r="I83" s="28">
        <f t="shared" si="12"/>
        <v>40</v>
      </c>
      <c r="J83" s="28">
        <v>4</v>
      </c>
      <c r="K83" s="10" t="str">
        <f xml:space="preserve"> IFERROR("0x" &amp; DEC2HEX(VLOOKUP(F83,Common!$C$10:$D$34,2,FALSE),2) &amp; DEC2HEX(I83,3) &amp; DEC2HEX(VLOOKUP(G83,Common!$C$51:$D$55,2,FALSE),1) &amp; DEC2HEX(1+2*VLOOKUP(H83,Common!$C$69:$D$72,2,FALSE),1) &amp; DEC2HEX(IFERROR(LOG(J83,2),0),1),0)</f>
        <v>0x07028152</v>
      </c>
      <c r="L83" s="29" t="str">
        <f t="shared" si="11"/>
        <v>PAD_CU_SN_INDEX7</v>
      </c>
      <c r="M83" s="21" t="s">
        <v>262</v>
      </c>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4" t="s">
        <v>242</v>
      </c>
      <c r="F84" s="23" t="s">
        <v>244</v>
      </c>
      <c r="G84" s="23" t="s">
        <v>48</v>
      </c>
      <c r="H84" s="26" t="s">
        <v>50</v>
      </c>
      <c r="I84" s="28">
        <f t="shared" si="12"/>
        <v>44</v>
      </c>
      <c r="J84" s="28">
        <v>4</v>
      </c>
      <c r="K84" s="10" t="str">
        <f xml:space="preserve"> IFERROR("0x" &amp; DEC2HEX(VLOOKUP(F84,Common!$C$10:$D$34,2,FALSE),2) &amp; DEC2HEX(I84,3) &amp; DEC2HEX(VLOOKUP(G84,Common!$C$51:$D$55,2,FALSE),1) &amp; DEC2HEX(1+2*VLOOKUP(H84,Common!$C$69:$D$72,2,FALSE),1) &amp; DEC2HEX(IFERROR(LOG(J84,2),0),1),0)</f>
        <v>0x0702C152</v>
      </c>
      <c r="L84" s="29" t="str">
        <f t="shared" si="11"/>
        <v>PAD_CU_SN_INDEX8</v>
      </c>
      <c r="M84" s="21" t="s">
        <v>263</v>
      </c>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t="s">
        <v>243</v>
      </c>
      <c r="F85" s="23" t="s">
        <v>244</v>
      </c>
      <c r="G85" s="23" t="s">
        <v>48</v>
      </c>
      <c r="H85" s="26" t="s">
        <v>50</v>
      </c>
      <c r="I85" s="28">
        <f t="shared" si="12"/>
        <v>48</v>
      </c>
      <c r="J85" s="28">
        <v>4</v>
      </c>
      <c r="K85" s="10" t="str">
        <f xml:space="preserve"> IFERROR("0x" &amp; DEC2HEX(VLOOKUP(F85,Common!$C$10:$D$34,2,FALSE),2) &amp; DEC2HEX(I85,3) &amp; DEC2HEX(VLOOKUP(G85,Common!$C$51:$D$55,2,FALSE),1) &amp; DEC2HEX(1+2*VLOOKUP(H85,Common!$C$69:$D$72,2,FALSE),1) &amp; DEC2HEX(IFERROR(LOG(J85,2),0),1),0)</f>
        <v>0x07030152</v>
      </c>
      <c r="L85" s="29" t="str">
        <f t="shared" si="11"/>
        <v>PAD_CU_SN_INDEX9</v>
      </c>
      <c r="M85" s="21" t="s">
        <v>264</v>
      </c>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 t="s">
        <v>247</v>
      </c>
      <c r="F86" s="23" t="s">
        <v>244</v>
      </c>
      <c r="G86" s="23" t="s">
        <v>48</v>
      </c>
      <c r="H86" s="26" t="s">
        <v>50</v>
      </c>
      <c r="I86" s="28">
        <f t="shared" si="12"/>
        <v>52</v>
      </c>
      <c r="J86" s="28">
        <v>4</v>
      </c>
      <c r="K86" s="10" t="str">
        <f xml:space="preserve"> IFERROR("0x" &amp; DEC2HEX(VLOOKUP(F86,Common!$C$10:$D$34,2,FALSE),2) &amp; DEC2HEX(I86,3) &amp; DEC2HEX(VLOOKUP(G86,Common!$C$51:$D$55,2,FALSE),1) &amp; DEC2HEX(1+2*VLOOKUP(H86,Common!$C$69:$D$72,2,FALSE),1) &amp; DEC2HEX(IFERROR(LOG(J86,2),0),1),0)</f>
        <v>0x07034152</v>
      </c>
      <c r="L86" s="29" t="str">
        <f t="shared" si="11"/>
        <v>PAD_TIU_STANDBY</v>
      </c>
      <c r="M86" s="21" t="s">
        <v>265</v>
      </c>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1" t="s">
        <v>248</v>
      </c>
      <c r="F87" s="23" t="s">
        <v>244</v>
      </c>
      <c r="G87" s="23" t="s">
        <v>48</v>
      </c>
      <c r="H87" s="26" t="s">
        <v>50</v>
      </c>
      <c r="I87" s="28">
        <f t="shared" si="12"/>
        <v>56</v>
      </c>
      <c r="J87" s="28">
        <v>4</v>
      </c>
      <c r="K87" s="10" t="str">
        <f xml:space="preserve"> IFERROR("0x" &amp; DEC2HEX(VLOOKUP(F87,Common!$C$10:$D$34,2,FALSE),2) &amp; DEC2HEX(I87,3) &amp; DEC2HEX(VLOOKUP(G87,Common!$C$51:$D$55,2,FALSE),1) &amp; DEC2HEX(1+2*VLOOKUP(H87,Common!$C$69:$D$72,2,FALSE),1) &amp; DEC2HEX(IFERROR(LOG(J87,2),0),1),0)</f>
        <v>0x07038152</v>
      </c>
      <c r="L87" s="29" t="str">
        <f>IF(AND(LEN(E87)&lt;&gt;0,S125=""),F87&amp;"_"&amp;UPPER(E87),"")</f>
        <v>PAD_TIU_ACTIVE</v>
      </c>
      <c r="M87" s="21" t="s">
        <v>266</v>
      </c>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t="s">
        <v>249</v>
      </c>
      <c r="F88" s="23" t="s">
        <v>244</v>
      </c>
      <c r="G88" s="23" t="s">
        <v>48</v>
      </c>
      <c r="H88" s="26" t="s">
        <v>50</v>
      </c>
      <c r="I88" s="28">
        <f t="shared" si="12"/>
        <v>60</v>
      </c>
      <c r="J88" s="28">
        <v>4</v>
      </c>
      <c r="K88" s="10" t="str">
        <f xml:space="preserve"> IFERROR("0x" &amp; DEC2HEX(VLOOKUP(F88,Common!$C$10:$D$34,2,FALSE),2) &amp; DEC2HEX(I88,3) &amp; DEC2HEX(VLOOKUP(G88,Common!$C$51:$D$55,2,FALSE),1) &amp; DEC2HEX(1+2*VLOOKUP(H88,Common!$C$69:$D$72,2,FALSE),1) &amp; DEC2HEX(IFERROR(LOG(J88,2),0),1),0)</f>
        <v>0x0703C152</v>
      </c>
      <c r="L88" s="29" t="str">
        <f t="shared" ref="L88:L91" si="13">IF(AND(LEN(E88)&lt;&gt;0,S129=""),F88&amp;"_"&amp;UPPER(E88),"")</f>
        <v>PAD_KID_PLACEMENT_NOTIF_CNT</v>
      </c>
      <c r="M88" s="21" t="s">
        <v>267</v>
      </c>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t="s">
        <v>250</v>
      </c>
      <c r="F89" s="23" t="s">
        <v>244</v>
      </c>
      <c r="G89" s="23" t="s">
        <v>48</v>
      </c>
      <c r="H89" s="26" t="s">
        <v>50</v>
      </c>
      <c r="I89" s="28">
        <f t="shared" si="12"/>
        <v>64</v>
      </c>
      <c r="J89" s="28">
        <v>4</v>
      </c>
      <c r="K89" s="10" t="str">
        <f xml:space="preserve"> IFERROR("0x" &amp; DEC2HEX(VLOOKUP(F89,Common!$C$10:$D$34,2,FALSE),2) &amp; DEC2HEX(I89,3) &amp; DEC2HEX(VLOOKUP(G89,Common!$C$51:$D$55,2,FALSE),1) &amp; DEC2HEX(1+2*VLOOKUP(H89,Common!$C$69:$D$72,2,FALSE),1) &amp; DEC2HEX(IFERROR(LOG(J89,2),0),1),0)</f>
        <v>0x07040152</v>
      </c>
      <c r="L89" s="29" t="str">
        <f t="shared" si="13"/>
        <v>PAD_ACTIVE_MODE_CNT</v>
      </c>
      <c r="M89" s="21" t="s">
        <v>268</v>
      </c>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t="s">
        <v>251</v>
      </c>
      <c r="F90" s="23" t="s">
        <v>244</v>
      </c>
      <c r="G90" s="23" t="s">
        <v>48</v>
      </c>
      <c r="H90" s="26" t="s">
        <v>50</v>
      </c>
      <c r="I90" s="28">
        <f t="shared" si="12"/>
        <v>68</v>
      </c>
      <c r="J90" s="28">
        <v>4</v>
      </c>
      <c r="K90" s="10" t="str">
        <f xml:space="preserve"> IFERROR("0x" &amp; DEC2HEX(VLOOKUP(F90,Common!$C$10:$D$34,2,FALSE),2) &amp; DEC2HEX(I90,3) &amp; DEC2HEX(VLOOKUP(G90,Common!$C$51:$D$55,2,FALSE),1) &amp; DEC2HEX(1+2*VLOOKUP(H90,Common!$C$69:$D$72,2,FALSE),1) &amp; DEC2HEX(IFERROR(LOG(J90,2),0),1),0)</f>
        <v>0x07044152</v>
      </c>
      <c r="L90" s="29" t="str">
        <f t="shared" si="13"/>
        <v>PAD_CONN_CNT</v>
      </c>
      <c r="M90" s="21" t="s">
        <v>269</v>
      </c>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t="s">
        <v>252</v>
      </c>
      <c r="F91" s="23" t="s">
        <v>244</v>
      </c>
      <c r="G91" s="23" t="s">
        <v>48</v>
      </c>
      <c r="H91" s="26" t="s">
        <v>50</v>
      </c>
      <c r="I91" s="28">
        <f t="shared" si="12"/>
        <v>72</v>
      </c>
      <c r="J91" s="28">
        <v>4</v>
      </c>
      <c r="K91" s="10" t="str">
        <f xml:space="preserve"> IFERROR("0x" &amp; DEC2HEX(VLOOKUP(F91,Common!$C$10:$D$34,2,FALSE),2) &amp; DEC2HEX(I91,3) &amp; DEC2HEX(VLOOKUP(G91,Common!$C$51:$D$55,2,FALSE),1) &amp; DEC2HEX(1+2*VLOOKUP(H91,Common!$C$69:$D$72,2,FALSE),1) &amp; DEC2HEX(IFERROR(LOG(J91,2),0),1),0)</f>
        <v>0x07048152</v>
      </c>
      <c r="L91" s="29" t="str">
        <f t="shared" si="13"/>
        <v>PAD_ALARM_CNT</v>
      </c>
      <c r="M91" s="21" t="s">
        <v>270</v>
      </c>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2"/>
      <c r="H95" s="25"/>
      <c r="I95" s="22"/>
      <c r="J95" s="22"/>
      <c r="K95" s="22"/>
      <c r="L95" s="22"/>
      <c r="M95" s="24"/>
      <c r="N95" s="22"/>
      <c r="O95" s="22"/>
      <c r="P95" s="22"/>
      <c r="Q95" s="22"/>
      <c r="R95" s="22"/>
      <c r="S95" s="22"/>
      <c r="T95" s="19"/>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2"/>
      <c r="H96" s="22"/>
      <c r="I96" s="22"/>
      <c r="J96" s="22"/>
      <c r="K96" s="22"/>
      <c r="L96" s="22"/>
      <c r="M96" s="21"/>
      <c r="N96" s="22"/>
      <c r="O96" s="22"/>
      <c r="P96" s="22"/>
      <c r="Q96" s="22"/>
      <c r="R96" s="22"/>
      <c r="S96" s="22"/>
      <c r="T96" s="19"/>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4"/>
      <c r="N97" s="22"/>
      <c r="O97" s="22"/>
      <c r="P97" s="22"/>
      <c r="Q97" s="22"/>
      <c r="R97" s="28"/>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19"/>
      <c r="F98" s="23"/>
      <c r="G98" s="22"/>
      <c r="H98" s="22"/>
      <c r="I98" s="22"/>
      <c r="J98" s="22"/>
      <c r="K98" s="22"/>
      <c r="L98" s="23"/>
      <c r="M98" s="24"/>
      <c r="N98" s="22"/>
      <c r="O98" s="22"/>
      <c r="P98" s="22"/>
      <c r="Q98" s="22"/>
      <c r="R98" s="28"/>
      <c r="S98" s="22"/>
      <c r="T98" s="24"/>
      <c r="U98"/>
      <c r="V98"/>
      <c r="W98"/>
      <c r="X98"/>
      <c r="Y98"/>
      <c r="Z98" s="12"/>
      <c r="AA98" s="12"/>
      <c r="AB98" s="12"/>
      <c r="AC98" s="12"/>
      <c r="AD98" s="12"/>
      <c r="AE98" s="12"/>
      <c r="AF98" s="12"/>
      <c r="AG98" s="12"/>
      <c r="AH98" s="12"/>
      <c r="AI98" s="12"/>
    </row>
    <row r="99" spans="1:35" s="10" customFormat="1" x14ac:dyDescent="0.25">
      <c r="A99" s="12"/>
      <c r="B99" s="12"/>
      <c r="C99" s="12"/>
      <c r="D99"/>
      <c r="E99" s="19"/>
      <c r="F99" s="23"/>
      <c r="G99" s="22"/>
      <c r="H99" s="25"/>
      <c r="I99" s="22"/>
      <c r="J99" s="22"/>
      <c r="K99" s="22"/>
      <c r="L99" s="23"/>
      <c r="M99" s="24"/>
      <c r="N99" s="22"/>
      <c r="O99" s="22"/>
      <c r="P99" s="22"/>
      <c r="Q99" s="22"/>
      <c r="R99" s="28"/>
      <c r="S99" s="22"/>
      <c r="T99" s="24"/>
      <c r="U99"/>
      <c r="V99"/>
      <c r="W99"/>
      <c r="X99"/>
      <c r="Y99"/>
      <c r="Z99" s="12"/>
      <c r="AA99" s="12"/>
      <c r="AB99" s="12"/>
      <c r="AC99" s="12"/>
      <c r="AD99" s="12"/>
      <c r="AE99" s="12"/>
      <c r="AF99" s="12"/>
      <c r="AG99" s="12"/>
      <c r="AH99" s="12"/>
      <c r="AI99" s="12"/>
    </row>
    <row r="100" spans="1:35" s="10" customFormat="1" x14ac:dyDescent="0.25">
      <c r="A100" s="12"/>
      <c r="B100" s="12"/>
      <c r="C100" s="12"/>
      <c r="D100"/>
      <c r="E100" s="19"/>
      <c r="F100" s="23"/>
      <c r="G100" s="22"/>
      <c r="H100" s="22"/>
      <c r="I100" s="22"/>
      <c r="J100" s="22"/>
      <c r="K100" s="22"/>
      <c r="L100" s="23"/>
      <c r="M100" s="24"/>
      <c r="N100" s="22"/>
      <c r="O100" s="22"/>
      <c r="P100" s="22"/>
      <c r="Q100" s="22"/>
      <c r="R100" s="28"/>
      <c r="S100" s="22"/>
      <c r="T100" s="24"/>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19"/>
      <c r="F101" s="23"/>
      <c r="G101" s="22"/>
      <c r="H101" s="22"/>
      <c r="I101" s="22"/>
      <c r="J101" s="22"/>
      <c r="K101" s="22"/>
      <c r="L101" s="23"/>
      <c r="M101" s="24"/>
      <c r="N101" s="22"/>
      <c r="O101" s="22"/>
      <c r="P101" s="22"/>
      <c r="Q101" s="22"/>
      <c r="R101" s="28"/>
      <c r="S101" s="22"/>
      <c r="T101" s="24"/>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3"/>
      <c r="I102" s="22"/>
      <c r="J102" s="22"/>
      <c r="K102" s="22"/>
      <c r="L102" s="22"/>
      <c r="M102" s="24"/>
      <c r="N102" s="22"/>
      <c r="O102" s="22"/>
      <c r="P102" s="22"/>
      <c r="Q102" s="22"/>
      <c r="R102" s="28"/>
      <c r="S102" s="22"/>
      <c r="T102" s="24"/>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19"/>
      <c r="F103" s="23"/>
      <c r="G103" s="22"/>
      <c r="H103" s="22"/>
      <c r="I103" s="22"/>
      <c r="J103" s="22"/>
      <c r="K103" s="22"/>
      <c r="L103" s="23"/>
      <c r="M103" s="24"/>
      <c r="N103" s="22"/>
      <c r="O103" s="22"/>
      <c r="P103" s="22"/>
      <c r="Q103" s="22"/>
      <c r="R103" s="28"/>
      <c r="S103" s="22"/>
      <c r="T103" s="24"/>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19"/>
      <c r="F104" s="23"/>
      <c r="G104" s="22"/>
      <c r="H104" s="22"/>
      <c r="I104" s="22"/>
      <c r="J104" s="22"/>
      <c r="K104" s="22"/>
      <c r="L104" s="23"/>
      <c r="M104" s="21"/>
      <c r="N104" s="22"/>
      <c r="O104" s="22"/>
      <c r="P104" s="22"/>
      <c r="Q104" s="22"/>
      <c r="R104" s="28"/>
      <c r="S104" s="22"/>
      <c r="T104" s="24"/>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1"/>
      <c r="F105" s="23"/>
      <c r="G105" s="23"/>
      <c r="H105" s="23"/>
      <c r="I105" s="22"/>
      <c r="J105" s="22"/>
      <c r="K105" s="22"/>
      <c r="L105" s="22"/>
      <c r="M105" s="21"/>
      <c r="N105" s="22"/>
      <c r="O105" s="22"/>
      <c r="P105" s="22"/>
      <c r="Q105" s="22"/>
      <c r="R105" s="22"/>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3"/>
      <c r="M106" s="21"/>
      <c r="N106" s="22"/>
      <c r="O106" s="22"/>
      <c r="P106" s="22"/>
      <c r="Q106" s="22"/>
      <c r="R106" s="28"/>
      <c r="S106" s="22"/>
      <c r="T106" s="24"/>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3"/>
      <c r="I107" s="22"/>
      <c r="J107" s="22"/>
      <c r="K107" s="22"/>
      <c r="L107" s="23"/>
      <c r="M107" s="21"/>
      <c r="N107" s="22"/>
      <c r="O107" s="22"/>
      <c r="P107" s="22"/>
      <c r="Q107" s="22"/>
      <c r="R107" s="28"/>
      <c r="S107" s="22"/>
      <c r="T107" s="24"/>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3"/>
      <c r="I108" s="22"/>
      <c r="J108" s="22"/>
      <c r="K108" s="22"/>
      <c r="L108" s="22"/>
      <c r="M108" s="21"/>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30"/>
      <c r="N109" s="22"/>
      <c r="O109" s="22"/>
      <c r="P109" s="22"/>
      <c r="Q109" s="23"/>
      <c r="R109" s="23"/>
      <c r="S109" s="22"/>
      <c r="T109" s="27"/>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4"/>
      <c r="N110" s="22"/>
      <c r="O110" s="22"/>
      <c r="P110" s="22"/>
      <c r="Q110" s="23"/>
      <c r="R110" s="23"/>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4"/>
      <c r="N111" s="22"/>
      <c r="O111" s="22"/>
      <c r="P111" s="22"/>
      <c r="Q111" s="23"/>
      <c r="R111" s="23"/>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4"/>
      <c r="N112" s="22"/>
      <c r="O112" s="22"/>
      <c r="P112" s="22"/>
      <c r="Q112" s="23"/>
      <c r="R112" s="23"/>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6"/>
      <c r="I113" s="22"/>
      <c r="J113" s="22"/>
      <c r="K113" s="22"/>
      <c r="L113" s="22"/>
      <c r="M113" s="24"/>
      <c r="N113" s="22"/>
      <c r="O113" s="22"/>
      <c r="P113" s="22"/>
      <c r="Q113" s="23"/>
      <c r="R113" s="23"/>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6"/>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1"/>
      <c r="F120" s="23"/>
      <c r="G120" s="23"/>
      <c r="H120" s="26"/>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3"/>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3"/>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3"/>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3"/>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3"/>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3"/>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2"/>
      <c r="R128" s="28"/>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1"/>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1"/>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1"/>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1"/>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1"/>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2"/>
      <c r="F135" s="22"/>
      <c r="G135" s="22"/>
      <c r="H135" s="22"/>
      <c r="I135" s="22"/>
      <c r="J135" s="22"/>
      <c r="K135" s="22"/>
      <c r="L135" s="22"/>
      <c r="M135" s="22"/>
      <c r="N135" s="22"/>
      <c r="O135" s="22"/>
      <c r="P135" s="22"/>
      <c r="Q135" s="22"/>
      <c r="R135" s="28"/>
      <c r="S135" s="22"/>
      <c r="T135" s="22"/>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1"/>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s="12"/>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s="12"/>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s="12"/>
      <c r="Z168" s="12"/>
      <c r="AA168" s="12"/>
      <c r="AB168" s="12"/>
      <c r="AC168" s="12"/>
      <c r="AD168" s="12"/>
      <c r="AE168" s="12"/>
      <c r="AF168" s="12"/>
      <c r="AG168" s="12"/>
      <c r="AH168" s="12"/>
      <c r="AI168" s="12"/>
    </row>
    <row r="169" spans="1:35" s="10" customFormat="1" x14ac:dyDescent="0.25">
      <c r="A169" s="12"/>
      <c r="B169" s="12"/>
      <c r="C169" s="12"/>
      <c r="D169"/>
      <c r="E169" s="24"/>
      <c r="F169" s="23"/>
      <c r="G169" s="22"/>
      <c r="H169" s="25"/>
      <c r="I169" s="22"/>
      <c r="J169" s="22"/>
      <c r="K169" s="22"/>
      <c r="L169" s="22"/>
      <c r="M169" s="24"/>
      <c r="N169" s="22"/>
      <c r="O169" s="22"/>
      <c r="P169" s="22"/>
      <c r="Q169" s="22"/>
      <c r="R169" s="22"/>
      <c r="S169" s="22"/>
      <c r="T169" s="19"/>
      <c r="U169"/>
      <c r="V169"/>
      <c r="W169"/>
      <c r="X169"/>
      <c r="Y169" s="12"/>
      <c r="Z169" s="12"/>
      <c r="AA169" s="12"/>
      <c r="AB169" s="12"/>
      <c r="AC169" s="12"/>
      <c r="AD169" s="12"/>
      <c r="AE169" s="12"/>
      <c r="AF169" s="12"/>
      <c r="AG169" s="12"/>
      <c r="AH169" s="12"/>
      <c r="AI169" s="12"/>
    </row>
    <row r="170" spans="1:35" s="10" customFormat="1" x14ac:dyDescent="0.25">
      <c r="A170" s="12"/>
      <c r="B170" s="12"/>
      <c r="C170" s="12"/>
      <c r="D170"/>
      <c r="E170"/>
      <c r="F170"/>
      <c r="G170"/>
      <c r="H170"/>
      <c r="I170"/>
      <c r="J170"/>
      <c r="K170"/>
      <c r="L170"/>
      <c r="M170"/>
      <c r="N170"/>
      <c r="O170"/>
      <c r="P170"/>
      <c r="Q170"/>
      <c r="R170"/>
      <c r="S170"/>
      <c r="T170"/>
      <c r="U170"/>
      <c r="V170"/>
      <c r="W170"/>
      <c r="X170"/>
      <c r="Y170" s="12"/>
      <c r="Z170" s="12"/>
      <c r="AA170" s="12"/>
      <c r="AB170" s="12"/>
      <c r="AC170" s="12"/>
      <c r="AD170" s="12"/>
      <c r="AE170" s="12"/>
      <c r="AF170" s="12"/>
      <c r="AG170" s="12"/>
      <c r="AH170" s="12"/>
      <c r="AI170" s="12"/>
    </row>
    <row r="171" spans="1:35" s="10" customFormat="1" x14ac:dyDescent="0.25">
      <c r="A171" s="12"/>
      <c r="B171" s="12"/>
      <c r="C171" s="12"/>
      <c r="D171"/>
      <c r="E171"/>
      <c r="F171"/>
      <c r="G171"/>
      <c r="H171"/>
      <c r="I171"/>
      <c r="J171"/>
      <c r="K171"/>
      <c r="L171"/>
      <c r="M171"/>
      <c r="N171"/>
      <c r="O171"/>
      <c r="P171"/>
      <c r="Q171"/>
      <c r="R171"/>
      <c r="S171"/>
      <c r="T171"/>
      <c r="U171"/>
      <c r="V171"/>
      <c r="W171"/>
      <c r="X171"/>
      <c r="Y171" s="12"/>
      <c r="Z171" s="12"/>
      <c r="AA171" s="12"/>
      <c r="AB171" s="12"/>
      <c r="AC171" s="12"/>
      <c r="AD171" s="12"/>
      <c r="AE171" s="12"/>
      <c r="AF171" s="12"/>
      <c r="AG171" s="12"/>
      <c r="AH171" s="12"/>
      <c r="AI171" s="12"/>
    </row>
    <row r="172" spans="1:35" s="10" customFormat="1" x14ac:dyDescent="0.25">
      <c r="A172" s="12"/>
      <c r="B172" s="12"/>
      <c r="C172" s="12"/>
      <c r="D172"/>
      <c r="E172"/>
      <c r="F172"/>
      <c r="G172"/>
      <c r="H172"/>
      <c r="I172"/>
      <c r="J172"/>
      <c r="K172"/>
      <c r="L172"/>
      <c r="M172"/>
      <c r="N172"/>
      <c r="O172"/>
      <c r="P172"/>
      <c r="Q172"/>
      <c r="R172"/>
      <c r="S172"/>
      <c r="T172"/>
      <c r="U172"/>
      <c r="V172"/>
      <c r="W172"/>
      <c r="X172"/>
      <c r="Y172" s="12"/>
      <c r="Z172" s="12"/>
      <c r="AA172" s="12"/>
      <c r="AB172" s="12"/>
      <c r="AC172" s="12"/>
      <c r="AD172" s="12"/>
      <c r="AE172" s="12"/>
      <c r="AF172" s="12"/>
      <c r="AG172" s="12"/>
      <c r="AH172" s="12"/>
      <c r="AI172" s="12"/>
    </row>
    <row r="173" spans="1:35" s="10" customFormat="1" x14ac:dyDescent="0.25">
      <c r="A173" s="12"/>
      <c r="B173" s="12"/>
      <c r="C173" s="12"/>
      <c r="D173"/>
      <c r="E173"/>
      <c r="F173"/>
      <c r="G173"/>
      <c r="H173"/>
      <c r="I173"/>
      <c r="J173"/>
      <c r="K173"/>
      <c r="L173"/>
      <c r="M173"/>
      <c r="N173"/>
      <c r="O173"/>
      <c r="P173"/>
      <c r="Q173"/>
      <c r="R173"/>
      <c r="S173"/>
      <c r="T173"/>
      <c r="U173"/>
      <c r="V173"/>
      <c r="W173"/>
      <c r="X173"/>
      <c r="Y173" s="12"/>
      <c r="Z173" s="12"/>
      <c r="AA173" s="12"/>
      <c r="AB173" s="12"/>
      <c r="AC173" s="12"/>
      <c r="AD173" s="12"/>
      <c r="AE173" s="12"/>
      <c r="AF173" s="12"/>
      <c r="AG173" s="12"/>
      <c r="AH173" s="12"/>
      <c r="AI173" s="12"/>
    </row>
    <row r="174" spans="1:35" s="10" customFormat="1" x14ac:dyDescent="0.25">
      <c r="A174" s="12"/>
      <c r="B174" s="12"/>
      <c r="C174" s="12"/>
      <c r="D174"/>
      <c r="E174"/>
      <c r="F174"/>
      <c r="G174"/>
      <c r="H174"/>
      <c r="I174"/>
      <c r="J174"/>
      <c r="K174"/>
      <c r="L174"/>
      <c r="M174"/>
      <c r="N174"/>
      <c r="O174"/>
      <c r="P174"/>
      <c r="Q174"/>
      <c r="R174"/>
      <c r="S174"/>
      <c r="T174"/>
      <c r="U174"/>
      <c r="V174"/>
      <c r="W174"/>
      <c r="X174"/>
      <c r="Y174" s="12"/>
      <c r="Z174" s="12"/>
      <c r="AA174" s="12"/>
      <c r="AB174" s="12"/>
      <c r="AC174" s="12"/>
      <c r="AD174" s="12"/>
      <c r="AE174" s="12"/>
      <c r="AF174" s="12"/>
      <c r="AG174" s="12"/>
      <c r="AH174" s="12"/>
      <c r="AI174" s="12"/>
    </row>
    <row r="175" spans="1:35" s="10" customFormat="1" x14ac:dyDescent="0.25">
      <c r="A175" s="12"/>
      <c r="B175" s="12"/>
      <c r="C175" s="12"/>
      <c r="D175"/>
      <c r="E175"/>
      <c r="F175"/>
      <c r="G175"/>
      <c r="H175"/>
      <c r="I175"/>
      <c r="J175"/>
      <c r="K175"/>
      <c r="L175"/>
      <c r="M175"/>
      <c r="N175"/>
      <c r="O175"/>
      <c r="P175"/>
      <c r="Q175"/>
      <c r="R175"/>
      <c r="S175"/>
      <c r="T175"/>
      <c r="U175"/>
      <c r="V175"/>
      <c r="W175"/>
      <c r="X175"/>
      <c r="Y175" s="12"/>
      <c r="Z175" s="12"/>
      <c r="AA175" s="12"/>
      <c r="AB175" s="12"/>
      <c r="AC175" s="12"/>
      <c r="AD175" s="12"/>
      <c r="AE175" s="12"/>
      <c r="AF175" s="12"/>
      <c r="AG175" s="12"/>
      <c r="AH175" s="12"/>
      <c r="AI175" s="12"/>
    </row>
    <row r="176" spans="1:35" s="10" customFormat="1" x14ac:dyDescent="0.25">
      <c r="A176" s="12"/>
      <c r="B176" s="12"/>
      <c r="C176" s="12"/>
      <c r="D176"/>
      <c r="E176"/>
      <c r="F176"/>
      <c r="G176"/>
      <c r="H176"/>
      <c r="I176"/>
      <c r="J176"/>
      <c r="K176"/>
      <c r="L176"/>
      <c r="M176"/>
      <c r="N176"/>
      <c r="O176"/>
      <c r="P176"/>
      <c r="Q176"/>
      <c r="R176"/>
      <c r="S176"/>
      <c r="T176"/>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c r="F177"/>
      <c r="G177"/>
      <c r="H177"/>
      <c r="I177"/>
      <c r="J177"/>
      <c r="K177"/>
      <c r="L177"/>
      <c r="M177"/>
      <c r="N177"/>
      <c r="O177"/>
      <c r="P177"/>
      <c r="Q177"/>
      <c r="R177"/>
      <c r="S177"/>
      <c r="T177"/>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c r="F178"/>
      <c r="G178"/>
      <c r="H178"/>
      <c r="I178"/>
      <c r="J178"/>
      <c r="K178"/>
      <c r="L178"/>
      <c r="M178"/>
      <c r="N178"/>
      <c r="O178"/>
      <c r="P178"/>
      <c r="Q178"/>
      <c r="R178"/>
      <c r="S178"/>
      <c r="T178"/>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c r="F179"/>
      <c r="G179"/>
      <c r="H179"/>
      <c r="I179"/>
      <c r="J179"/>
      <c r="K179"/>
      <c r="L179"/>
      <c r="M179"/>
      <c r="N179"/>
      <c r="O179"/>
      <c r="P179"/>
      <c r="Q179"/>
      <c r="R179"/>
      <c r="S179"/>
      <c r="T179"/>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c r="F180"/>
      <c r="G180"/>
      <c r="H180"/>
      <c r="I180"/>
      <c r="J180"/>
      <c r="K180"/>
      <c r="L180"/>
      <c r="M180"/>
      <c r="N180"/>
      <c r="O180"/>
      <c r="P180"/>
      <c r="Q180"/>
      <c r="R180"/>
      <c r="S180"/>
      <c r="T180"/>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s="24"/>
      <c r="F182" s="23"/>
      <c r="G182" s="22"/>
      <c r="H182" s="22"/>
      <c r="I182" s="22"/>
      <c r="J182" s="22"/>
      <c r="K182" s="22"/>
      <c r="L182" s="22"/>
      <c r="M182" s="21"/>
      <c r="N182" s="22"/>
      <c r="O182" s="22"/>
      <c r="P182" s="22"/>
      <c r="Q182" s="22"/>
      <c r="R182" s="22"/>
      <c r="S182" s="22"/>
      <c r="T182" s="19"/>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4"/>
      <c r="F183" s="23"/>
      <c r="G183" s="23"/>
      <c r="H183" s="26"/>
      <c r="I183" s="22"/>
      <c r="J183" s="22"/>
      <c r="K183" s="22"/>
      <c r="L183" s="22"/>
      <c r="M183" s="24"/>
      <c r="N183" s="22"/>
      <c r="O183" s="22"/>
      <c r="P183" s="22"/>
      <c r="Q183" s="22"/>
      <c r="R183" s="28"/>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19"/>
      <c r="F184" s="23"/>
      <c r="G184" s="22"/>
      <c r="H184" s="22"/>
      <c r="I184" s="22"/>
      <c r="J184" s="22"/>
      <c r="K184" s="22"/>
      <c r="L184" s="23"/>
      <c r="M184" s="24"/>
      <c r="N184" s="22"/>
      <c r="O184" s="22"/>
      <c r="P184" s="22"/>
      <c r="Q184" s="22"/>
      <c r="R184" s="28"/>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19"/>
      <c r="F185" s="23"/>
      <c r="G185" s="22"/>
      <c r="H185" s="22"/>
      <c r="I185" s="22"/>
      <c r="J185" s="22"/>
      <c r="K185" s="22"/>
      <c r="L185" s="23"/>
      <c r="M185" s="24"/>
      <c r="N185" s="22"/>
      <c r="O185" s="22"/>
      <c r="P185" s="22"/>
      <c r="Q185" s="22"/>
      <c r="R185" s="28"/>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19"/>
      <c r="F186" s="23"/>
      <c r="G186" s="22"/>
      <c r="H186" s="25"/>
      <c r="I186" s="22"/>
      <c r="J186" s="22"/>
      <c r="K186" s="22"/>
      <c r="L186" s="23"/>
      <c r="M186" s="24"/>
      <c r="N186" s="22"/>
      <c r="O186" s="22"/>
      <c r="P186" s="22"/>
      <c r="Q186" s="22"/>
      <c r="R186" s="28"/>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19"/>
      <c r="F187" s="23"/>
      <c r="G187" s="22"/>
      <c r="H187" s="22"/>
      <c r="I187" s="22"/>
      <c r="J187" s="22"/>
      <c r="K187" s="22"/>
      <c r="L187" s="23"/>
      <c r="M187" s="24"/>
      <c r="N187" s="22"/>
      <c r="O187" s="22"/>
      <c r="P187" s="22"/>
      <c r="Q187" s="22"/>
      <c r="R187" s="28"/>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19"/>
      <c r="F188" s="23"/>
      <c r="G188" s="22"/>
      <c r="H188" s="22"/>
      <c r="I188" s="22"/>
      <c r="J188" s="22"/>
      <c r="K188" s="22"/>
      <c r="L188" s="23"/>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2"/>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2"/>
      <c r="F190" s="23"/>
      <c r="G190" s="22"/>
      <c r="H190" s="22"/>
      <c r="I190" s="22"/>
      <c r="J190" s="22"/>
      <c r="K190" s="22"/>
      <c r="L190" s="23"/>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2"/>
      <c r="F191" s="23"/>
      <c r="G191" s="22"/>
      <c r="H191" s="22"/>
      <c r="I191" s="22"/>
      <c r="J191" s="22"/>
      <c r="K191" s="22"/>
      <c r="L191" s="23"/>
      <c r="M191" s="24"/>
      <c r="N191" s="22"/>
      <c r="O191" s="22"/>
      <c r="P191" s="22"/>
      <c r="Q191" s="22"/>
      <c r="R191" s="28"/>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3"/>
      <c r="I192" s="22"/>
      <c r="J192" s="22"/>
      <c r="K192" s="22"/>
      <c r="L192" s="22"/>
      <c r="M192" s="24"/>
      <c r="N192" s="22"/>
      <c r="O192" s="22"/>
      <c r="P192" s="22"/>
      <c r="Q192" s="22"/>
      <c r="R192" s="28"/>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3"/>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3"/>
      <c r="I194" s="22"/>
      <c r="J194" s="22"/>
      <c r="K194" s="22"/>
      <c r="L194" s="22"/>
      <c r="M194" s="24"/>
      <c r="N194" s="22"/>
      <c r="O194" s="22"/>
      <c r="P194" s="22"/>
      <c r="Q194" s="23"/>
      <c r="R194" s="23"/>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3"/>
      <c r="R195" s="23"/>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3"/>
      <c r="R196" s="23"/>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6"/>
      <c r="I197" s="22"/>
      <c r="J197" s="22"/>
      <c r="K197" s="22"/>
      <c r="L197" s="22"/>
      <c r="M197" s="24"/>
      <c r="N197" s="22"/>
      <c r="O197" s="22"/>
      <c r="P197" s="22"/>
      <c r="Q197" s="23"/>
      <c r="R197" s="23"/>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6"/>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4"/>
      <c r="N200" s="22"/>
      <c r="O200" s="22"/>
      <c r="P200" s="22"/>
      <c r="Q200" s="23"/>
      <c r="R200" s="23"/>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3"/>
      <c r="H201" s="26"/>
      <c r="I201" s="22"/>
      <c r="J201" s="22"/>
      <c r="K201" s="22"/>
      <c r="L201" s="22"/>
      <c r="M201" s="24"/>
      <c r="N201" s="22"/>
      <c r="O201" s="22"/>
      <c r="P201" s="22"/>
      <c r="Q201" s="23"/>
      <c r="R201" s="23"/>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1"/>
      <c r="N202" s="22"/>
      <c r="O202" s="22"/>
      <c r="P202" s="22"/>
      <c r="Q202" s="22"/>
      <c r="R202" s="28"/>
      <c r="S202" s="22"/>
      <c r="T202" s="20"/>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2"/>
      <c r="H203" s="22"/>
      <c r="I203" s="22"/>
      <c r="J203" s="22"/>
      <c r="K203" s="22"/>
      <c r="L203" s="22"/>
      <c r="M203" s="21"/>
      <c r="N203" s="22"/>
      <c r="O203" s="22"/>
      <c r="P203" s="22"/>
      <c r="Q203" s="22"/>
      <c r="R203" s="22"/>
      <c r="S203" s="22"/>
      <c r="T203" s="19"/>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6"/>
      <c r="I204" s="22"/>
      <c r="J204" s="22"/>
      <c r="K204" s="22"/>
      <c r="L204" s="22"/>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19"/>
      <c r="F205" s="23"/>
      <c r="G205" s="22"/>
      <c r="H205" s="22"/>
      <c r="I205" s="22"/>
      <c r="J205" s="22"/>
      <c r="K205" s="22"/>
      <c r="L205" s="23"/>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19"/>
      <c r="F206" s="23"/>
      <c r="G206" s="22"/>
      <c r="H206" s="22"/>
      <c r="I206" s="22"/>
      <c r="J206" s="22"/>
      <c r="K206" s="22"/>
      <c r="L206" s="23"/>
      <c r="M206" s="24"/>
      <c r="N206" s="22"/>
      <c r="O206" s="22"/>
      <c r="P206" s="22"/>
      <c r="Q206" s="22"/>
      <c r="R206" s="28"/>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19"/>
      <c r="F207" s="23"/>
      <c r="G207" s="22"/>
      <c r="H207" s="25"/>
      <c r="I207" s="22"/>
      <c r="J207" s="22"/>
      <c r="K207" s="22"/>
      <c r="L207" s="23"/>
      <c r="M207" s="24"/>
      <c r="N207" s="22"/>
      <c r="O207" s="22"/>
      <c r="P207" s="22"/>
      <c r="Q207" s="22"/>
      <c r="R207" s="28"/>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19"/>
      <c r="F208" s="23"/>
      <c r="G208" s="22"/>
      <c r="H208" s="22"/>
      <c r="I208" s="22"/>
      <c r="J208" s="22"/>
      <c r="K208" s="22"/>
      <c r="L208" s="23"/>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19"/>
      <c r="F209" s="23"/>
      <c r="G209" s="22"/>
      <c r="H209" s="22"/>
      <c r="I209" s="22"/>
      <c r="J209" s="22"/>
      <c r="K209" s="22"/>
      <c r="L209" s="23"/>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2"/>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2"/>
      <c r="F211" s="23"/>
      <c r="G211" s="22"/>
      <c r="H211" s="22"/>
      <c r="I211" s="22"/>
      <c r="J211" s="22"/>
      <c r="K211" s="22"/>
      <c r="L211" s="23"/>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2"/>
      <c r="F212" s="23"/>
      <c r="G212" s="22"/>
      <c r="H212" s="22"/>
      <c r="I212" s="22"/>
      <c r="J212" s="22"/>
      <c r="K212" s="22"/>
      <c r="L212" s="23"/>
      <c r="M212" s="24"/>
      <c r="N212" s="22"/>
      <c r="O212" s="22"/>
      <c r="P212" s="22"/>
      <c r="Q212" s="22"/>
      <c r="R212" s="28"/>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3"/>
      <c r="I213" s="22"/>
      <c r="J213" s="22"/>
      <c r="K213" s="22"/>
      <c r="L213" s="22"/>
      <c r="M213" s="24"/>
      <c r="N213" s="22"/>
      <c r="O213" s="22"/>
      <c r="P213" s="22"/>
      <c r="Q213" s="22"/>
      <c r="R213" s="28"/>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3"/>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3"/>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4"/>
      <c r="N221" s="22"/>
      <c r="O221" s="22"/>
      <c r="P221" s="22"/>
      <c r="Q221" s="23"/>
      <c r="R221" s="23"/>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3"/>
      <c r="H222" s="26"/>
      <c r="I222" s="22"/>
      <c r="J222" s="22"/>
      <c r="K222" s="22"/>
      <c r="L222" s="22"/>
      <c r="M222" s="24"/>
      <c r="N222" s="22"/>
      <c r="O222" s="22"/>
      <c r="P222" s="22"/>
      <c r="Q222" s="23"/>
      <c r="R222" s="23"/>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1"/>
      <c r="N223" s="22"/>
      <c r="O223" s="22"/>
      <c r="P223" s="22"/>
      <c r="Q223" s="22"/>
      <c r="R223" s="28"/>
      <c r="S223" s="22"/>
      <c r="T223" s="20"/>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2"/>
      <c r="H224" s="22"/>
      <c r="I224" s="22"/>
      <c r="J224" s="22"/>
      <c r="K224" s="22"/>
      <c r="L224" s="22"/>
      <c r="M224" s="21"/>
      <c r="N224" s="22"/>
      <c r="O224" s="22"/>
      <c r="P224" s="22"/>
      <c r="Q224" s="22"/>
      <c r="R224" s="22"/>
      <c r="S224" s="22"/>
      <c r="T224" s="19"/>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6"/>
      <c r="I225" s="22"/>
      <c r="J225" s="22"/>
      <c r="K225" s="22"/>
      <c r="L225" s="22"/>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19"/>
      <c r="F226" s="23"/>
      <c r="G226" s="22"/>
      <c r="H226" s="22"/>
      <c r="I226" s="22"/>
      <c r="J226" s="22"/>
      <c r="K226" s="22"/>
      <c r="L226" s="23"/>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19"/>
      <c r="F227" s="23"/>
      <c r="G227" s="22"/>
      <c r="H227" s="22"/>
      <c r="I227" s="22"/>
      <c r="J227" s="22"/>
      <c r="K227" s="22"/>
      <c r="L227" s="23"/>
      <c r="M227" s="24"/>
      <c r="N227" s="22"/>
      <c r="O227" s="22"/>
      <c r="P227" s="22"/>
      <c r="Q227" s="22"/>
      <c r="R227" s="28"/>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19"/>
      <c r="F228" s="23"/>
      <c r="G228" s="22"/>
      <c r="H228" s="25"/>
      <c r="I228" s="22"/>
      <c r="J228" s="22"/>
      <c r="K228" s="22"/>
      <c r="L228" s="23"/>
      <c r="M228" s="24"/>
      <c r="N228" s="22"/>
      <c r="O228" s="22"/>
      <c r="P228" s="22"/>
      <c r="Q228" s="22"/>
      <c r="R228" s="28"/>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19"/>
      <c r="F229" s="23"/>
      <c r="G229" s="22"/>
      <c r="H229" s="22"/>
      <c r="I229" s="22"/>
      <c r="J229" s="22"/>
      <c r="K229" s="22"/>
      <c r="L229" s="23"/>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19"/>
      <c r="F230" s="23"/>
      <c r="G230" s="22"/>
      <c r="H230" s="22"/>
      <c r="I230" s="22"/>
      <c r="J230" s="22"/>
      <c r="K230" s="22"/>
      <c r="L230" s="23"/>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2"/>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2"/>
      <c r="F232" s="23"/>
      <c r="G232" s="22"/>
      <c r="H232" s="22"/>
      <c r="I232" s="22"/>
      <c r="J232" s="22"/>
      <c r="K232" s="22"/>
      <c r="L232" s="23"/>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2"/>
      <c r="F233" s="23"/>
      <c r="G233" s="22"/>
      <c r="H233" s="22"/>
      <c r="I233" s="22"/>
      <c r="J233" s="22"/>
      <c r="K233" s="22"/>
      <c r="L233" s="23"/>
      <c r="M233" s="24"/>
      <c r="N233" s="22"/>
      <c r="O233" s="22"/>
      <c r="P233" s="22"/>
      <c r="Q233" s="22"/>
      <c r="R233" s="28"/>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3"/>
      <c r="I234" s="22"/>
      <c r="J234" s="22"/>
      <c r="K234" s="22"/>
      <c r="L234" s="22"/>
      <c r="M234" s="24"/>
      <c r="N234" s="22"/>
      <c r="O234" s="22"/>
      <c r="P234" s="22"/>
      <c r="Q234" s="22"/>
      <c r="R234" s="28"/>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3"/>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3"/>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4"/>
      <c r="N242" s="22"/>
      <c r="O242" s="22"/>
      <c r="P242" s="22"/>
      <c r="Q242" s="23"/>
      <c r="R242" s="23"/>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3"/>
      <c r="H243" s="26"/>
      <c r="I243" s="22"/>
      <c r="J243" s="22"/>
      <c r="K243" s="22"/>
      <c r="L243" s="22"/>
      <c r="M243" s="24"/>
      <c r="N243" s="22"/>
      <c r="O243" s="22"/>
      <c r="P243" s="22"/>
      <c r="Q243" s="23"/>
      <c r="R243" s="23"/>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1"/>
      <c r="N244" s="22"/>
      <c r="O244" s="22"/>
      <c r="P244" s="22"/>
      <c r="Q244" s="22"/>
      <c r="R244" s="28"/>
      <c r="S244" s="22"/>
      <c r="T244" s="20"/>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2"/>
      <c r="H245" s="22"/>
      <c r="I245" s="22"/>
      <c r="J245" s="22"/>
      <c r="K245" s="22"/>
      <c r="L245" s="22"/>
      <c r="M245" s="21"/>
      <c r="N245" s="22"/>
      <c r="O245" s="22"/>
      <c r="P245" s="22"/>
      <c r="Q245" s="22"/>
      <c r="R245" s="22"/>
      <c r="S245" s="22"/>
      <c r="T245" s="19"/>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6"/>
      <c r="I246" s="22"/>
      <c r="J246" s="22"/>
      <c r="K246" s="22"/>
      <c r="L246" s="22"/>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19"/>
      <c r="F247" s="23"/>
      <c r="G247" s="22"/>
      <c r="H247" s="22"/>
      <c r="I247" s="22"/>
      <c r="J247" s="22"/>
      <c r="K247" s="22"/>
      <c r="L247" s="23"/>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19"/>
      <c r="F248" s="23"/>
      <c r="G248" s="22"/>
      <c r="H248" s="22"/>
      <c r="I248" s="22"/>
      <c r="J248" s="22"/>
      <c r="K248" s="22"/>
      <c r="L248" s="23"/>
      <c r="M248" s="24"/>
      <c r="N248" s="22"/>
      <c r="O248" s="22"/>
      <c r="P248" s="22"/>
      <c r="Q248" s="22"/>
      <c r="R248" s="28"/>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19"/>
      <c r="F249" s="23"/>
      <c r="G249" s="22"/>
      <c r="H249" s="25"/>
      <c r="I249" s="22"/>
      <c r="J249" s="22"/>
      <c r="K249" s="22"/>
      <c r="L249" s="23"/>
      <c r="M249" s="24"/>
      <c r="N249" s="22"/>
      <c r="O249" s="22"/>
      <c r="P249" s="22"/>
      <c r="Q249" s="22"/>
      <c r="R249" s="28"/>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19"/>
      <c r="F250" s="23"/>
      <c r="G250" s="22"/>
      <c r="H250" s="22"/>
      <c r="I250" s="22"/>
      <c r="J250" s="22"/>
      <c r="K250" s="22"/>
      <c r="L250" s="23"/>
      <c r="M250" s="24"/>
      <c r="N250" s="22"/>
      <c r="O250" s="22"/>
      <c r="P250" s="22"/>
      <c r="Q250" s="22"/>
      <c r="R250" s="28"/>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19"/>
      <c r="F251" s="23"/>
      <c r="G251" s="22"/>
      <c r="H251" s="22"/>
      <c r="I251" s="22"/>
      <c r="J251" s="22"/>
      <c r="K251" s="22"/>
      <c r="L251" s="23"/>
      <c r="M251" s="24"/>
      <c r="N251" s="22"/>
      <c r="O251" s="22"/>
      <c r="P251" s="22"/>
      <c r="Q251" s="22"/>
      <c r="R251" s="28"/>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2"/>
      <c r="F252" s="23"/>
      <c r="G252" s="22"/>
      <c r="H252" s="22"/>
      <c r="I252" s="22"/>
      <c r="J252" s="22"/>
      <c r="K252" s="22"/>
      <c r="L252" s="23"/>
      <c r="M252" s="24"/>
      <c r="N252" s="22"/>
      <c r="O252" s="22"/>
      <c r="P252" s="22"/>
      <c r="Q252" s="22"/>
      <c r="R252" s="28"/>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2"/>
      <c r="F253" s="23"/>
      <c r="G253" s="22"/>
      <c r="H253" s="22"/>
      <c r="I253" s="22"/>
      <c r="J253" s="22"/>
      <c r="K253" s="22"/>
      <c r="L253" s="23"/>
      <c r="M253" s="24"/>
      <c r="N253" s="22"/>
      <c r="O253" s="22"/>
      <c r="P253" s="22"/>
      <c r="Q253" s="22"/>
      <c r="R253" s="28"/>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2"/>
      <c r="F254" s="23"/>
      <c r="G254" s="22"/>
      <c r="H254" s="22"/>
      <c r="I254" s="22"/>
      <c r="J254" s="22"/>
      <c r="K254" s="22"/>
      <c r="L254" s="23"/>
      <c r="M254" s="24"/>
      <c r="N254" s="22"/>
      <c r="O254" s="22"/>
      <c r="P254" s="22"/>
      <c r="Q254" s="22"/>
      <c r="R254" s="28"/>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3"/>
      <c r="I255" s="22"/>
      <c r="J255" s="22"/>
      <c r="K255" s="22"/>
      <c r="L255" s="22"/>
      <c r="M255" s="24"/>
      <c r="N255" s="22"/>
      <c r="O255" s="22"/>
      <c r="P255" s="22"/>
      <c r="Q255" s="22"/>
      <c r="R255" s="28"/>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3"/>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3"/>
      <c r="I257" s="22"/>
      <c r="J257" s="22"/>
      <c r="K257" s="22"/>
      <c r="L257" s="22"/>
      <c r="M257" s="24"/>
      <c r="N257" s="22"/>
      <c r="O257" s="22"/>
      <c r="P257" s="22"/>
      <c r="Q257" s="23"/>
      <c r="R257" s="23"/>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3"/>
      <c r="R258" s="23"/>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24"/>
      <c r="F259" s="23"/>
      <c r="G259" s="23"/>
      <c r="H259" s="26"/>
      <c r="I259" s="22"/>
      <c r="J259" s="22"/>
      <c r="K259" s="22"/>
      <c r="L259" s="22"/>
      <c r="M259" s="24"/>
      <c r="N259" s="22"/>
      <c r="O259" s="22"/>
      <c r="P259" s="22"/>
      <c r="Q259" s="23"/>
      <c r="R259" s="23"/>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24"/>
      <c r="F260" s="23"/>
      <c r="G260" s="23"/>
      <c r="H260" s="26"/>
      <c r="I260" s="22"/>
      <c r="J260" s="22"/>
      <c r="K260" s="22"/>
      <c r="L260" s="22"/>
      <c r="M260" s="24"/>
      <c r="N260" s="22"/>
      <c r="O260" s="22"/>
      <c r="P260" s="22"/>
      <c r="Q260" s="23"/>
      <c r="R260" s="23"/>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24"/>
      <c r="F261" s="23"/>
      <c r="G261" s="23"/>
      <c r="H261" s="26"/>
      <c r="I261" s="22"/>
      <c r="J261" s="22"/>
      <c r="K261" s="22"/>
      <c r="L261" s="22"/>
      <c r="M261" s="24"/>
      <c r="N261" s="22"/>
      <c r="O261" s="22"/>
      <c r="P261" s="22"/>
      <c r="Q261" s="23"/>
      <c r="R261" s="23"/>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24"/>
      <c r="F262" s="23"/>
      <c r="G262" s="23"/>
      <c r="H262" s="26"/>
      <c r="I262" s="22"/>
      <c r="J262" s="22"/>
      <c r="K262" s="22"/>
      <c r="L262" s="22"/>
      <c r="M262" s="24"/>
      <c r="N262" s="22"/>
      <c r="O262" s="22"/>
      <c r="P262" s="22"/>
      <c r="Q262" s="23"/>
      <c r="R262" s="23"/>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4"/>
      <c r="F263" s="23"/>
      <c r="G263" s="23"/>
      <c r="H263" s="26"/>
      <c r="I263" s="22"/>
      <c r="J263" s="22"/>
      <c r="K263" s="22"/>
      <c r="L263" s="22"/>
      <c r="M263" s="24"/>
      <c r="N263" s="22"/>
      <c r="O263" s="22"/>
      <c r="P263" s="22"/>
      <c r="Q263" s="23"/>
      <c r="R263" s="23"/>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4"/>
      <c r="F264" s="23"/>
      <c r="G264" s="23"/>
      <c r="H264" s="26"/>
      <c r="I264" s="22"/>
      <c r="J264" s="22"/>
      <c r="K264" s="22"/>
      <c r="L264" s="22"/>
      <c r="M264" s="24"/>
      <c r="N264" s="22"/>
      <c r="O264" s="22"/>
      <c r="P264" s="22"/>
      <c r="Q264" s="23"/>
      <c r="R264" s="23"/>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4"/>
      <c r="F265" s="23"/>
      <c r="G265" s="23"/>
      <c r="H265" s="26"/>
      <c r="I265" s="22"/>
      <c r="J265" s="22"/>
      <c r="K265" s="22"/>
      <c r="L265" s="22"/>
      <c r="M265" s="21"/>
      <c r="N265" s="22"/>
      <c r="O265" s="22"/>
      <c r="P265" s="22"/>
      <c r="Q265" s="22"/>
      <c r="R265" s="28"/>
      <c r="S265" s="22"/>
      <c r="T265" s="20"/>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s="12"/>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s="12"/>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s="12"/>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s="12"/>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s="12"/>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s="15"/>
      <c r="E458"/>
      <c r="F458"/>
      <c r="G458" s="3"/>
      <c r="H458" s="3"/>
      <c r="I458" s="3"/>
      <c r="J458" s="3"/>
      <c r="K458"/>
      <c r="L458"/>
      <c r="M458"/>
      <c r="N458" s="3"/>
      <c r="O458" s="3"/>
      <c r="P458" s="3"/>
      <c r="Q458" s="3"/>
      <c r="R458" s="3"/>
      <c r="S458"/>
      <c r="T458"/>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5"/>
      <c r="E459"/>
      <c r="F459"/>
      <c r="G459" s="3"/>
      <c r="H459" s="3"/>
      <c r="I459" s="3"/>
      <c r="J459" s="3"/>
      <c r="K459"/>
      <c r="L459"/>
      <c r="M459"/>
      <c r="N459" s="3"/>
      <c r="O459" s="3"/>
      <c r="P459" s="3"/>
      <c r="Q459" s="3"/>
      <c r="R459" s="3"/>
      <c r="S459"/>
      <c r="T459"/>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5"/>
      <c r="E460"/>
      <c r="F460"/>
      <c r="G460" s="3"/>
      <c r="H460" s="3"/>
      <c r="I460" s="3"/>
      <c r="J460" s="3"/>
      <c r="K460"/>
      <c r="L460"/>
      <c r="M460"/>
      <c r="N460" s="3"/>
      <c r="O460" s="3"/>
      <c r="P460" s="3"/>
      <c r="Q460" s="3"/>
      <c r="R460" s="3"/>
      <c r="S460"/>
      <c r="T460"/>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c r="F461"/>
      <c r="G461" s="3"/>
      <c r="H461" s="3"/>
      <c r="I461" s="3"/>
      <c r="J461" s="3"/>
      <c r="K461"/>
      <c r="L461"/>
      <c r="M461"/>
      <c r="N461" s="3"/>
      <c r="O461" s="3"/>
      <c r="P461" s="3"/>
      <c r="Q461" s="3"/>
      <c r="R461" s="3"/>
      <c r="S461"/>
      <c r="T461"/>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c r="F462"/>
      <c r="G462" s="3"/>
      <c r="H462" s="3"/>
      <c r="I462" s="3"/>
      <c r="J462" s="3"/>
      <c r="K462"/>
      <c r="L462"/>
      <c r="M462"/>
      <c r="N462" s="3"/>
      <c r="O462" s="3"/>
      <c r="P462" s="3"/>
      <c r="Q462" s="3"/>
      <c r="R462" s="3"/>
      <c r="S462"/>
      <c r="T46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11</xdr:col>
                <xdr:colOff>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9" sqref="F19"/>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204</v>
      </c>
      <c r="D16" s="3">
        <v>5</v>
      </c>
      <c r="E16" t="s">
        <v>205</v>
      </c>
      <c r="F16" t="s">
        <v>206</v>
      </c>
    </row>
    <row r="17" spans="3:6" x14ac:dyDescent="0.25">
      <c r="C17" t="s">
        <v>197</v>
      </c>
      <c r="D17" s="3">
        <v>6</v>
      </c>
      <c r="E17" t="s">
        <v>87</v>
      </c>
      <c r="F17" t="s">
        <v>203</v>
      </c>
    </row>
    <row r="18" spans="3:6" x14ac:dyDescent="0.25">
      <c r="C18" s="2" t="s">
        <v>244</v>
      </c>
      <c r="D18" s="3">
        <v>7</v>
      </c>
      <c r="E18" t="s">
        <v>245</v>
      </c>
      <c r="F18" t="s">
        <v>246</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2026-02-25T10:55:19Z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