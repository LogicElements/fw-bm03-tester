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D:\work\gitlab\fw-bm03-tester\Documents\"/>
    </mc:Choice>
  </mc:AlternateContent>
  <xr:revisionPtr revIDLastSave="0" documentId="13_ncr:1_{D29D02EC-E1C3-44CD-867B-4A4A4E231F5C}" xr6:coauthVersionLast="47" xr6:coauthVersionMax="47" xr10:uidLastSave="{00000000-0000-0000-0000-000000000000}"/>
  <bookViews>
    <workbookView xWindow="135" yWindow="45" windowWidth="25260" windowHeight="199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2" i="25" l="1"/>
  <c r="L52" i="25"/>
  <c r="K53" i="25"/>
  <c r="L53" i="25"/>
  <c r="L54" i="25"/>
  <c r="K55" i="25"/>
  <c r="L55" i="25"/>
  <c r="L56" i="25"/>
  <c r="I52" i="25"/>
  <c r="I53" i="25" s="1"/>
  <c r="I54" i="25" s="1"/>
  <c r="I55" i="25" s="1"/>
  <c r="I56" i="25" s="1"/>
  <c r="K56" i="25" s="1"/>
  <c r="L51" i="25"/>
  <c r="K51" i="25"/>
  <c r="I51" i="25"/>
  <c r="L30" i="25"/>
  <c r="I50" i="25"/>
  <c r="K50" i="25"/>
  <c r="L50" i="25"/>
  <c r="K63" i="25"/>
  <c r="K45" i="25"/>
  <c r="L46" i="25"/>
  <c r="I46" i="25"/>
  <c r="K46" i="25" s="1"/>
  <c r="L45" i="25"/>
  <c r="L63" i="25"/>
  <c r="L29" i="25"/>
  <c r="F10" i="25"/>
  <c r="F8" i="25"/>
  <c r="K54" i="25" l="1"/>
  <c r="L41" i="25"/>
  <c r="L40" i="25"/>
  <c r="L39" i="25"/>
  <c r="L38" i="25"/>
  <c r="L36" i="25"/>
  <c r="L35" i="25"/>
  <c r="L34" i="25"/>
  <c r="L33" i="25"/>
  <c r="L28" i="25"/>
  <c r="L27" i="25"/>
  <c r="L20" i="25"/>
  <c r="L19" i="25"/>
  <c r="L18" i="25"/>
  <c r="K38" i="25"/>
  <c r="K33" i="25"/>
  <c r="I39" i="25" l="1"/>
  <c r="I40" i="25" l="1"/>
  <c r="K39" i="25"/>
  <c r="I41" i="25" l="1"/>
  <c r="K41" i="25" s="1"/>
  <c r="K40" i="25"/>
  <c r="I18" i="25" l="1"/>
  <c r="F12" i="25"/>
  <c r="F7"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30" i="25" s="1"/>
  <c r="K29" i="25"/>
</calcChain>
</file>

<file path=xl/sharedStrings.xml><?xml version="1.0" encoding="utf-8"?>
<sst xmlns="http://schemas.openxmlformats.org/spreadsheetml/2006/main" count="358" uniqueCount="233">
  <si>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</si>
  <si>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</si>
  <si>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</si>
  <si>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</si>
  <si>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</si>
  <si>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</si>
  <si>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</si>
  <si>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</si>
  <si>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</si>
  <si>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</si>
  <si>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</si>
  <si>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</si>
  <si>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</si>
  <si>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</si>
  <si>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</si>
  <si>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</si>
  <si>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</si>
  <si>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</si>
  <si>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</si>
  <si>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</si>
  <si>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</si>
  <si>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</si>
  <si>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</si>
  <si>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</si>
  <si>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</si>
  <si>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</si>
  <si>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</si>
  <si>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</si>
  <si>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</si>
  <si>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</si>
  <si>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</si>
  <si>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</si>
  <si>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</si>
  <si>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</si>
  <si>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</si>
  <si>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</si>
  <si>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</si>
  <si>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</si>
  <si>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</si>
  <si>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</si>
  <si>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</si>
  <si>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</si>
  <si>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</si>
  <si>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</si>
  <si>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</si>
  <si>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</si>
  <si>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</si>
  <si>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</si>
  <si>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</si>
  <si>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</si>
  <si>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</si>
  <si>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</si>
  <si>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</si>
  <si>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</si>
  <si>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</si>
  <si>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</si>
  <si>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</si>
  <si>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</si>
  <si>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</si>
  <si>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</si>
  <si>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</si>
  <si>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</si>
  <si>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</si>
  <si>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</si>
  <si>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</si>
  <si>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</si>
  <si>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</si>
  <si>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</si>
  <si>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</si>
  <si>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</si>
  <si>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</si>
  <si>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</si>
  <si>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</si>
  <si>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</si>
  <si>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</si>
  <si>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</si>
  <si>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</si>
  <si>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</si>
  <si>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</si>
  <si>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</si>
  <si>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</si>
  <si>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</si>
  <si>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</si>
  <si>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</si>
  <si>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</si>
  <si>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</si>
  <si>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</si>
  <si>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</si>
  <si>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</si>
  <si>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</si>
  <si>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</si>
  <si>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</si>
  <si>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</si>
  <si>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</si>
  <si>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</si>
  <si>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</si>
  <si>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</si>
  <si>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</si>
  <si>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</si>
  <si>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</si>
  <si>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</si>
  <si>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</si>
  <si>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</si>
  <si>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</si>
  <si>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</si>
  <si>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</si>
  <si>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</si>
  <si>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</si>
  <si>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</si>
  <si>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</si>
  <si>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</si>
  <si>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</si>
  <si>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</si>
  <si>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</si>
  <si>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</si>
  <si>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</si>
  <si>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</si>
  <si>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</si>
  <si>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</si>
  <si>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</si>
  <si>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</si>
  <si>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</si>
  <si>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</si>
  <si>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</si>
  <si>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</si>
  <si>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</si>
  <si>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</si>
  <si>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</si>
  <si>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</si>
  <si>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</si>
  <si>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</si>
  <si>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</si>
  <si>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</si>
  <si>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</si>
  <si>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</si>
  <si>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</si>
  <si>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</si>
  <si>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</si>
  <si>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</si>
  <si>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</si>
  <si>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</si>
  <si>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</si>
  <si>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</si>
  <si>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</si>
  <si>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</si>
  <si>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</si>
  <si>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</si>
  <si>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</si>
  <si>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</si>
  <si>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</si>
  <si>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</si>
  <si>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</si>
  <si>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</si>
  <si>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</si>
  <si>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</si>
  <si>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</si>
  <si>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</si>
  <si>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</si>
  <si>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</si>
  <si>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</si>
  <si>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</si>
  <si>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</si>
  <si>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</si>
  <si>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</si>
  <si>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</si>
  <si>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</si>
  <si>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</si>
  <si>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</si>
  <si>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</si>
  <si>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</si>
  <si>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</si>
  <si>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</si>
  <si>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</si>
  <si>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</si>
  <si>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</si>
  <si>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</si>
  <si>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</si>
  <si>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</si>
  <si>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</si>
  <si>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</si>
  <si>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</si>
  <si>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</si>
  <si>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</si>
  <si>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</si>
  <si>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</si>
  <si>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</si>
  <si>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</si>
  <si>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</si>
  <si>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</si>
  <si>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</si>
  <si>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</si>
  <si>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</si>
  <si>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</si>
  <si>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</si>
  <si>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</si>
  <si>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</si>
  <si>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</si>
  <si>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</si>
  <si>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</si>
  <si>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</si>
  <si>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</si>
  <si>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</si>
  <si>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</si>
  <si>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</si>
  <si>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BM</t>
  </si>
  <si>
    <t>BABY_MONITOR</t>
  </si>
  <si>
    <t>Baby monitor input/output</t>
  </si>
  <si>
    <t>MUX</t>
  </si>
  <si>
    <t>D:\work\gitlab\fw-bm03-tester\Documents\txts\Bm03Tester_Define.txt</t>
  </si>
  <si>
    <t>D:\work\gitlab\fw-bm03-tester\Documents\txts\Bm03Tester_Storage.txt</t>
  </si>
  <si>
    <t>D:\work\gitlab\fw-bm03-tester\Documents\txts\Bm03Tester_Factory.txt</t>
  </si>
  <si>
    <t>D:\work\gitlab\fw-bm03-tester\Documents\txts\reg_map.c</t>
  </si>
  <si>
    <t>D:\work\gitlab\fw-bm03-tester\Documents\txts\Bm03Tester_registers.json</t>
  </si>
  <si>
    <t>D:\work\gitlab\fw-bm03-tester\Documents\txts\Bm03TesterRegs.py</t>
  </si>
  <si>
    <t>D:\work\gitlab\fw-bm03-tester\Documents\txts\Bm03Tester_Modbus.json</t>
  </si>
  <si>
    <t>Error code</t>
  </si>
  <si>
    <t>Set calibration resistance values to all channels.
Value 0 - calibration disabled</t>
  </si>
  <si>
    <t>D:\work\gitlab\fw-bm03-tester\Documents\txts\Bm03Tester_Registers.json</t>
  </si>
  <si>
    <t>MUX_DEFAULT</t>
  </si>
  <si>
    <t>Multiplexer select</t>
  </si>
  <si>
    <t>Default multiplexer</t>
  </si>
  <si>
    <t>PADS</t>
  </si>
  <si>
    <t>Number of pads</t>
  </si>
  <si>
    <t>SIGNAL_PERIOD</t>
  </si>
  <si>
    <t>Signal period</t>
  </si>
  <si>
    <t>SIGNAL_BASE</t>
  </si>
  <si>
    <t>SIGNAL_AMPLITUDE</t>
  </si>
  <si>
    <t>Signal DC value</t>
  </si>
  <si>
    <t>Signal AC amplitude</t>
  </si>
  <si>
    <t>ms</t>
  </si>
  <si>
    <t>mV</t>
  </si>
  <si>
    <t>PAD_MODE</t>
  </si>
  <si>
    <t>Pad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</si>
</sst>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3"/>
  <sheetViews>
    <sheetView tabSelected="1" topLeftCell="B1" zoomScaleNormal="100" workbookViewId="0">
      <selection activeCell="P58" sqref="P58"/>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211</v>
      </c>
      <c r="T3" s="31"/>
    </row>
    <row r="4" spans="1:26" ht="24.95" customHeight="1" x14ac:dyDescent="0.25">
      <c r="D4" s="31" t="s">
        <v>18</v>
      </c>
      <c r="E4" s="31"/>
      <c r="F4" s="31" t="s">
        <v>113</v>
      </c>
      <c r="J4" s="3" t="s">
        <v>1</v>
      </c>
      <c r="K4" s="9" t="s">
        <v>5</v>
      </c>
      <c r="L4" s="8" t="s">
        <v>208</v>
      </c>
      <c r="M4" s="11"/>
      <c r="U4" s="12" t="s">
        <v>1</v>
      </c>
      <c r="Z4" s="10"/>
    </row>
    <row r="5" spans="1:26" ht="24.95" customHeight="1" x14ac:dyDescent="0.25">
      <c r="D5" s="31" t="s">
        <v>19</v>
      </c>
      <c r="E5" s="31"/>
      <c r="F5" s="31" t="s">
        <v>20</v>
      </c>
      <c r="J5" s="3" t="s">
        <v>1</v>
      </c>
      <c r="K5" s="9" t="s">
        <v>100</v>
      </c>
      <c r="L5" s="8" t="s">
        <v>217</v>
      </c>
      <c r="M5" s="11"/>
      <c r="U5" s="12" t="s">
        <v>1</v>
      </c>
      <c r="Z5" s="10"/>
    </row>
    <row r="6" spans="1:26" ht="24.95" customHeight="1" x14ac:dyDescent="0.25">
      <c r="D6" s="31" t="s">
        <v>63</v>
      </c>
      <c r="E6" s="13"/>
      <c r="F6" s="32">
        <v>1</v>
      </c>
      <c r="J6" s="3" t="s">
        <v>1</v>
      </c>
      <c r="K6" s="9" t="s">
        <v>17</v>
      </c>
      <c r="L6" s="8" t="s">
        <v>209</v>
      </c>
      <c r="M6" s="11"/>
      <c r="U6" s="12" t="s">
        <v>1</v>
      </c>
      <c r="Z6" s="10"/>
    </row>
    <row r="7" spans="1:26" ht="24.95" customHeight="1" x14ac:dyDescent="0.25">
      <c r="D7" s="31" t="s">
        <v>143</v>
      </c>
      <c r="E7" s="13"/>
      <c r="F7" s="31" t="str">
        <f>GetWorkName()</f>
        <v>Bm03Tester</v>
      </c>
      <c r="J7" s="3" t="s">
        <v>1</v>
      </c>
      <c r="K7" s="9" t="s">
        <v>21</v>
      </c>
      <c r="L7" s="8" t="s">
        <v>210</v>
      </c>
      <c r="M7" s="11"/>
      <c r="U7" s="12" t="s">
        <v>1</v>
      </c>
      <c r="Z7" s="10"/>
    </row>
    <row r="8" spans="1:26" ht="24.95" customHeight="1" x14ac:dyDescent="0.25">
      <c r="D8" s="31" t="s">
        <v>117</v>
      </c>
      <c r="E8" s="13"/>
      <c r="F8" s="31" t="str">
        <f>GetPath()&amp;"\..\Firmware\bm03_tester_app\Core\Common\"</f>
        <v>D:\work\gitlab\fw-bm03-tester\Documents\..\Firmware\bm03_tester_app\Core\Common\</v>
      </c>
      <c r="J8" s="3" t="s">
        <v>1</v>
      </c>
      <c r="K8" s="9" t="s">
        <v>145</v>
      </c>
      <c r="L8" s="8" t="s">
        <v>214</v>
      </c>
      <c r="M8" s="11"/>
      <c r="U8" s="12" t="s">
        <v>1</v>
      </c>
      <c r="Z8" s="10"/>
    </row>
    <row r="9" spans="1:26" ht="24.95" customHeight="1" x14ac:dyDescent="0.25">
      <c r="D9" s="31" t="s">
        <v>148</v>
      </c>
      <c r="E9" s="13"/>
      <c r="F9" s="31"/>
      <c r="J9" s="3"/>
      <c r="K9" s="9" t="s">
        <v>1</v>
      </c>
      <c r="L9" s="8" t="s">
        <v>213</v>
      </c>
      <c r="M9" s="11"/>
      <c r="Z9" s="10"/>
    </row>
    <row r="10" spans="1:26" ht="24.95" customHeight="1" x14ac:dyDescent="0.25">
      <c r="D10" s="31" t="s">
        <v>153</v>
      </c>
      <c r="E10" s="13"/>
      <c r="F10" s="31" t="str">
        <f>GetPath()&amp;"\..\Tests\bm03_tester\"</f>
        <v>D:\work\gitlab\fw-bm03-tester\Documents\..\Tests\bm03_tester\</v>
      </c>
      <c r="K10" s="9" t="s">
        <v>154</v>
      </c>
      <c r="L10" s="8" t="s">
        <v>212</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25">
      <c r="A17" s="45"/>
      <c r="B17" s="45"/>
      <c r="C17" s="43"/>
      <c r="D17" s="47"/>
      <c r="E17" s="49"/>
      <c r="F17" s="42"/>
      <c r="G17" s="42"/>
      <c r="H17" s="42"/>
      <c r="I17" s="47"/>
      <c r="J17" s="42"/>
      <c r="K17" s="47"/>
      <c r="L17" s="47"/>
      <c r="M17" s="55"/>
      <c r="N17" s="47"/>
      <c r="O17" s="52"/>
      <c r="P17" s="52"/>
      <c r="Q17" s="56"/>
      <c r="R17" s="56"/>
      <c r="S17" s="52"/>
      <c r="T17" s="49"/>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0"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215</v>
      </c>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0" x14ac:dyDescent="0.25">
      <c r="D42" s="15"/>
      <c r="E42" s="2"/>
      <c r="F42" s="5"/>
      <c r="G42" s="5"/>
      <c r="H42" s="18"/>
      <c r="I42" s="14"/>
      <c r="J42" s="14"/>
      <c r="K42" s="10"/>
      <c r="L42" s="3"/>
      <c r="M42"/>
      <c r="R42" s="29"/>
      <c r="T42"/>
    </row>
    <row r="44" spans="1:20" s="34" customFormat="1" x14ac:dyDescent="0.25">
      <c r="D44" s="40"/>
      <c r="F44" s="29"/>
      <c r="G44" s="29"/>
      <c r="H44" s="29"/>
      <c r="I44" s="29"/>
      <c r="J44" s="29"/>
      <c r="K44" s="10"/>
      <c r="L44" s="29"/>
      <c r="N44" s="29"/>
      <c r="O44" s="29"/>
      <c r="P44" s="29"/>
      <c r="Q44" s="29"/>
      <c r="R44" s="29"/>
      <c r="S44" s="29"/>
      <c r="T44"/>
    </row>
    <row r="45" spans="1:20" s="34" customFormat="1" x14ac:dyDescent="0.25">
      <c r="D45" s="40"/>
      <c r="E45" s="2" t="s">
        <v>201</v>
      </c>
      <c r="F45" s="3" t="s">
        <v>182</v>
      </c>
      <c r="G45" s="5" t="s">
        <v>48</v>
      </c>
      <c r="H45" s="18" t="s">
        <v>50</v>
      </c>
      <c r="I45" s="33">
        <v>0</v>
      </c>
      <c r="J45" s="29">
        <v>2</v>
      </c>
      <c r="K45" s="10" t="str">
        <f xml:space="preserve"> IFERROR("0x" &amp; DEC2HEX(VLOOKUP(F45,Common!$C$10:$D$34,2,FALSE),2) &amp; DEC2HEX(I45,3) &amp; DEC2HEX(VLOOKUP(G45,Common!$C$51:$D$55,2,FALSE),1) &amp; DEC2HEX(1+2*VLOOKUP(H45,Common!$C$69:$D$72,2,FALSE),1) &amp; DEC2HEX(IFERROR(LOG(J45,2),0),1),0)</f>
        <v>0x04000151</v>
      </c>
      <c r="L45" s="29" t="str">
        <f>IF(AND(LEN(E45)&lt;&gt;0,S45=""),F45&amp;"_"&amp;UPPER(E45),"")</f>
        <v>CALIB_MODE</v>
      </c>
      <c r="M45" t="s">
        <v>202</v>
      </c>
      <c r="N45" s="29">
        <v>0</v>
      </c>
      <c r="O45" s="29">
        <v>0</v>
      </c>
      <c r="P45" s="29">
        <v>24</v>
      </c>
      <c r="Q45" s="29"/>
      <c r="R45" s="29"/>
      <c r="S45" s="3"/>
      <c r="T45" t="s">
        <v>216</v>
      </c>
    </row>
    <row r="46" spans="1:20" s="34" customFormat="1" x14ac:dyDescent="0.25">
      <c r="D46" s="40"/>
      <c r="E46" s="2" t="s">
        <v>195</v>
      </c>
      <c r="F46" s="3" t="s">
        <v>182</v>
      </c>
      <c r="G46" s="5" t="s">
        <v>48</v>
      </c>
      <c r="H46" s="18" t="s">
        <v>50</v>
      </c>
      <c r="I46" s="33">
        <f xml:space="preserve"> I45+J45</f>
        <v>2</v>
      </c>
      <c r="J46" s="29">
        <v>2</v>
      </c>
      <c r="K46" s="10" t="str">
        <f xml:space="preserve"> IFERROR("0x" &amp; DEC2HEX(VLOOKUP(F46,Common!$C$10:$D$34,2,FALSE),2) &amp; DEC2HEX(I46,3) &amp; DEC2HEX(VLOOKUP(G46,Common!$C$51:$D$55,2,FALSE),1) &amp; DEC2HEX(1+2*VLOOKUP(H46,Common!$C$69:$D$72,2,FALSE),1) &amp; DEC2HEX(IFERROR(LOG(J46,2),0),1),0)</f>
        <v>0x04002151</v>
      </c>
      <c r="L46" s="29" t="str">
        <f t="shared" ref="L46" si="2">IF(AND(LEN(E46)&lt;&gt;0,S46=""),F46&amp;"_"&amp;UPPER(E46),"")</f>
        <v>CALIB_RESERVED</v>
      </c>
      <c r="M46" t="s">
        <v>89</v>
      </c>
      <c r="N46" s="29"/>
      <c r="O46" s="29"/>
      <c r="P46" s="29"/>
      <c r="Q46" s="29"/>
      <c r="R46" s="29"/>
      <c r="S46" s="3"/>
      <c r="T46" t="s">
        <v>52</v>
      </c>
    </row>
    <row r="47" spans="1:20" s="34" customFormat="1" x14ac:dyDescent="0.25">
      <c r="D47" s="40"/>
      <c r="E47"/>
      <c r="F47" s="3"/>
      <c r="G47" s="3"/>
      <c r="H47" s="3"/>
      <c r="I47" s="33"/>
      <c r="J47" s="3"/>
      <c r="K47" s="10"/>
      <c r="L47" s="29"/>
      <c r="M47"/>
      <c r="N47" s="29"/>
      <c r="O47" s="29"/>
      <c r="P47" s="29"/>
      <c r="Q47" s="3"/>
      <c r="R47" s="3"/>
      <c r="T47"/>
    </row>
    <row r="48" spans="1:20" s="34" customFormat="1" x14ac:dyDescent="0.25">
      <c r="D48" s="40"/>
      <c r="E48"/>
      <c r="F48" s="3"/>
      <c r="G48" s="3"/>
      <c r="H48" s="3"/>
      <c r="I48" s="33"/>
      <c r="J48" s="3"/>
      <c r="K48" s="10"/>
      <c r="L48" s="29"/>
      <c r="M48"/>
      <c r="N48" s="29"/>
      <c r="O48" s="29"/>
      <c r="P48" s="29"/>
      <c r="Q48" s="3"/>
      <c r="R48" s="3"/>
      <c r="T48"/>
    </row>
    <row r="49" spans="1:35" s="10" customFormat="1" x14ac:dyDescent="0.25">
      <c r="A49" s="12"/>
      <c r="B49" s="12"/>
      <c r="C49" s="12"/>
      <c r="D49"/>
      <c r="E49" s="24"/>
      <c r="F49" s="23"/>
      <c r="G49" s="23"/>
      <c r="H49" s="26"/>
      <c r="I49" s="22"/>
      <c r="J49" s="22"/>
      <c r="L49" s="22"/>
      <c r="M49" s="21"/>
      <c r="N49" s="22"/>
      <c r="O49" s="22"/>
      <c r="P49" s="22"/>
      <c r="Q49" s="22"/>
      <c r="R49" s="28"/>
      <c r="S49" s="22"/>
      <c r="T49" s="21"/>
      <c r="U49"/>
      <c r="V49"/>
      <c r="W49"/>
      <c r="X49"/>
      <c r="Y49"/>
      <c r="Z49" s="12"/>
      <c r="AA49" s="12"/>
      <c r="AB49" s="12"/>
      <c r="AC49" s="12"/>
      <c r="AD49" s="12"/>
      <c r="AE49" s="12"/>
      <c r="AF49" s="12"/>
      <c r="AG49" s="12"/>
      <c r="AH49" s="12"/>
      <c r="AI49" s="12"/>
    </row>
    <row r="50" spans="1:35" s="34" customFormat="1" x14ac:dyDescent="0.25">
      <c r="D50" s="40"/>
      <c r="E50" t="s">
        <v>207</v>
      </c>
      <c r="F50" s="3" t="s">
        <v>204</v>
      </c>
      <c r="G50" s="3" t="s">
        <v>48</v>
      </c>
      <c r="H50" s="3" t="s">
        <v>50</v>
      </c>
      <c r="I50" s="33">
        <f xml:space="preserve"> I49+J49</f>
        <v>0</v>
      </c>
      <c r="J50" s="29">
        <v>1</v>
      </c>
      <c r="K50" s="10" t="str">
        <f xml:space="preserve"> IFERROR("0x" &amp; DEC2HEX(VLOOKUP(F50,Common!$C$10:$D$34,2,FALSE),2) &amp; DEC2HEX(I50,3) &amp; DEC2HEX(VLOOKUP(G50,Common!$C$51:$D$55,2,FALSE),1) &amp; DEC2HEX(1+2*VLOOKUP(H50,Common!$C$69:$D$72,2,FALSE),1) &amp; DEC2HEX(IFERROR(LOG(J50,2),0),1),0)</f>
        <v>0x05000150</v>
      </c>
      <c r="L50" s="29" t="str">
        <f t="shared" ref="L50:L51" si="3">IF(AND(LEN(E50)&lt;&gt;0,S50=""),F50&amp;"_"&amp;UPPER(E50),"")</f>
        <v>BM_MUX</v>
      </c>
      <c r="M50" t="s">
        <v>219</v>
      </c>
      <c r="N50" s="29">
        <v>0</v>
      </c>
      <c r="O50" s="29">
        <v>0</v>
      </c>
      <c r="P50" s="29">
        <v>8</v>
      </c>
      <c r="Q50" s="29"/>
      <c r="R50" s="3"/>
      <c r="T50"/>
    </row>
    <row r="51" spans="1:35" s="34" customFormat="1" x14ac:dyDescent="0.25">
      <c r="D51" s="40"/>
      <c r="E51" t="s">
        <v>218</v>
      </c>
      <c r="F51" s="3" t="s">
        <v>204</v>
      </c>
      <c r="G51" s="3" t="s">
        <v>48</v>
      </c>
      <c r="H51" s="3" t="s">
        <v>47</v>
      </c>
      <c r="I51" s="33">
        <f xml:space="preserve"> I50+J50</f>
        <v>1</v>
      </c>
      <c r="J51" s="29">
        <v>1</v>
      </c>
      <c r="K51" s="10" t="str">
        <f xml:space="preserve"> IFERROR("0x" &amp; DEC2HEX(VLOOKUP(F51,Common!$C$10:$D$34,2,FALSE),2) &amp; DEC2HEX(I51,3) &amp; DEC2HEX(VLOOKUP(G51,Common!$C$51:$D$55,2,FALSE),1) &amp; DEC2HEX(1+2*VLOOKUP(H51,Common!$C$69:$D$72,2,FALSE),1) &amp; DEC2HEX(IFERROR(LOG(J51,2),0),1),0)</f>
        <v>0x05001170</v>
      </c>
      <c r="L51" s="29" t="str">
        <f t="shared" si="3"/>
        <v>BM_MUX_DEFAULT</v>
      </c>
      <c r="M51" t="s">
        <v>220</v>
      </c>
      <c r="N51" s="29">
        <v>0</v>
      </c>
      <c r="O51" s="29">
        <v>0</v>
      </c>
      <c r="P51" s="29">
        <v>8</v>
      </c>
      <c r="Q51" s="29"/>
      <c r="R51" s="3"/>
      <c r="T51"/>
    </row>
    <row r="52" spans="1:35" s="34" customFormat="1" x14ac:dyDescent="0.25">
      <c r="D52" s="40"/>
      <c r="E52" t="s">
        <v>221</v>
      </c>
      <c r="F52" s="3" t="s">
        <v>204</v>
      </c>
      <c r="G52" s="3" t="s">
        <v>48</v>
      </c>
      <c r="H52" s="3" t="s">
        <v>50</v>
      </c>
      <c r="I52" s="33">
        <f t="shared" ref="I52:I56" si="4" xml:space="preserve"> I51+J51</f>
        <v>2</v>
      </c>
      <c r="J52" s="29">
        <v>1</v>
      </c>
      <c r="K52" s="10" t="str">
        <f xml:space="preserve"> IFERROR("0x" &amp; DEC2HEX(VLOOKUP(F52,Common!$C$10:$D$34,2,FALSE),2) &amp; DEC2HEX(I52,3) &amp; DEC2HEX(VLOOKUP(G52,Common!$C$51:$D$55,2,FALSE),1) &amp; DEC2HEX(1+2*VLOOKUP(H52,Common!$C$69:$D$72,2,FALSE),1) &amp; DEC2HEX(IFERROR(LOG(J52,2),0),1),0)</f>
        <v>0x05002150</v>
      </c>
      <c r="L52" s="29" t="str">
        <f t="shared" ref="L52:L56" si="5">IF(AND(LEN(E52)&lt;&gt;0,S52=""),F52&amp;"_"&amp;UPPER(E52),"")</f>
        <v>BM_PADS</v>
      </c>
      <c r="M52" t="s">
        <v>222</v>
      </c>
      <c r="N52" s="29">
        <v>0</v>
      </c>
      <c r="O52" s="29">
        <v>0</v>
      </c>
      <c r="P52" s="29">
        <v>8</v>
      </c>
      <c r="Q52" s="29"/>
      <c r="R52" s="29"/>
      <c r="T52"/>
    </row>
    <row r="53" spans="1:35" s="34" customFormat="1" x14ac:dyDescent="0.25">
      <c r="D53" s="40"/>
      <c r="E53" t="s">
        <v>231</v>
      </c>
      <c r="F53" s="3" t="s">
        <v>204</v>
      </c>
      <c r="G53" s="3" t="s">
        <v>48</v>
      </c>
      <c r="H53" s="3" t="s">
        <v>50</v>
      </c>
      <c r="I53" s="33">
        <f t="shared" si="4"/>
        <v>3</v>
      </c>
      <c r="J53" s="29">
        <v>1</v>
      </c>
      <c r="K53" s="10" t="str">
        <f xml:space="preserve"> IFERROR("0x" &amp; DEC2HEX(VLOOKUP(F53,Common!$C$10:$D$34,2,FALSE),2) &amp; DEC2HEX(I53,3) &amp; DEC2HEX(VLOOKUP(G53,Common!$C$51:$D$55,2,FALSE),1) &amp; DEC2HEX(1+2*VLOOKUP(H53,Common!$C$69:$D$72,2,FALSE),1) &amp; DEC2HEX(IFERROR(LOG(J53,2),0),1),0)</f>
        <v>0x05003150</v>
      </c>
      <c r="L53" s="29" t="str">
        <f t="shared" si="5"/>
        <v>BM_PAD_MODE</v>
      </c>
      <c r="M53" t="s">
        <v>232</v>
      </c>
      <c r="N53" s="29">
        <v>1</v>
      </c>
      <c r="O53" s="29">
        <v>0</v>
      </c>
      <c r="P53" s="29">
        <v>1</v>
      </c>
      <c r="Q53" s="29"/>
      <c r="R53" s="29"/>
      <c r="T53"/>
    </row>
    <row r="54" spans="1:35" s="34" customFormat="1" x14ac:dyDescent="0.25">
      <c r="D54" s="40"/>
      <c r="E54" t="s">
        <v>223</v>
      </c>
      <c r="F54" s="3" t="s">
        <v>204</v>
      </c>
      <c r="G54" s="3" t="s">
        <v>48</v>
      </c>
      <c r="H54" s="3" t="s">
        <v>50</v>
      </c>
      <c r="I54" s="33">
        <f t="shared" si="4"/>
        <v>4</v>
      </c>
      <c r="J54" s="29">
        <v>2</v>
      </c>
      <c r="K54" s="10" t="str">
        <f xml:space="preserve"> IFERROR("0x" &amp; DEC2HEX(VLOOKUP(F54,Common!$C$10:$D$34,2,FALSE),2) &amp; DEC2HEX(I54,3) &amp; DEC2HEX(VLOOKUP(G54,Common!$C$51:$D$55,2,FALSE),1) &amp; DEC2HEX(1+2*VLOOKUP(H54,Common!$C$69:$D$72,2,FALSE),1) &amp; DEC2HEX(IFERROR(LOG(J54,2),0),1),0)</f>
        <v>0x05004151</v>
      </c>
      <c r="L54" s="29" t="str">
        <f t="shared" si="5"/>
        <v>BM_SIGNAL_PERIOD</v>
      </c>
      <c r="M54" t="s">
        <v>224</v>
      </c>
      <c r="N54" s="29">
        <v>2000</v>
      </c>
      <c r="O54" s="29">
        <v>500</v>
      </c>
      <c r="P54" s="29">
        <v>10000</v>
      </c>
      <c r="Q54" s="29" t="s">
        <v>229</v>
      </c>
      <c r="R54" s="29"/>
      <c r="T54"/>
    </row>
    <row r="55" spans="1:35" s="34" customFormat="1" x14ac:dyDescent="0.25">
      <c r="D55" s="40"/>
      <c r="E55" t="s">
        <v>225</v>
      </c>
      <c r="F55" s="3" t="s">
        <v>204</v>
      </c>
      <c r="G55" s="3" t="s">
        <v>48</v>
      </c>
      <c r="H55" s="3" t="s">
        <v>50</v>
      </c>
      <c r="I55" s="33">
        <f t="shared" si="4"/>
        <v>6</v>
      </c>
      <c r="J55" s="29">
        <v>2</v>
      </c>
      <c r="K55" s="10" t="str">
        <f xml:space="preserve"> IFERROR("0x" &amp; DEC2HEX(VLOOKUP(F55,Common!$C$10:$D$34,2,FALSE),2) &amp; DEC2HEX(I55,3) &amp; DEC2HEX(VLOOKUP(G55,Common!$C$51:$D$55,2,FALSE),1) &amp; DEC2HEX(1+2*VLOOKUP(H55,Common!$C$69:$D$72,2,FALSE),1) &amp; DEC2HEX(IFERROR(LOG(J55,2),0),1),0)</f>
        <v>0x05006151</v>
      </c>
      <c r="L55" s="29" t="str">
        <f t="shared" si="5"/>
        <v>BM_SIGNAL_BASE</v>
      </c>
      <c r="M55" t="s">
        <v>227</v>
      </c>
      <c r="N55" s="29">
        <v>1750</v>
      </c>
      <c r="O55" s="29">
        <v>0</v>
      </c>
      <c r="P55" s="29">
        <v>3300</v>
      </c>
      <c r="Q55" s="29" t="s">
        <v>230</v>
      </c>
      <c r="R55" s="3"/>
      <c r="T55"/>
    </row>
    <row r="56" spans="1:35" s="34" customFormat="1" x14ac:dyDescent="0.25">
      <c r="D56" s="40"/>
      <c r="E56" t="s">
        <v>226</v>
      </c>
      <c r="F56" s="3" t="s">
        <v>204</v>
      </c>
      <c r="G56" s="3" t="s">
        <v>48</v>
      </c>
      <c r="H56" s="3" t="s">
        <v>50</v>
      </c>
      <c r="I56" s="33">
        <f t="shared" si="4"/>
        <v>8</v>
      </c>
      <c r="J56" s="29">
        <v>2</v>
      </c>
      <c r="K56" s="10" t="str">
        <f xml:space="preserve"> IFERROR("0x" &amp; DEC2HEX(VLOOKUP(F56,Common!$C$10:$D$34,2,FALSE),2) &amp; DEC2HEX(I56,3) &amp; DEC2HEX(VLOOKUP(G56,Common!$C$51:$D$55,2,FALSE),1) &amp; DEC2HEX(1+2*VLOOKUP(H56,Common!$C$69:$D$72,2,FALSE),1) &amp; DEC2HEX(IFERROR(LOG(J56,2),0),1),0)</f>
        <v>0x05008151</v>
      </c>
      <c r="L56" s="29" t="str">
        <f t="shared" si="5"/>
        <v>BM_SIGNAL_AMPLITUDE</v>
      </c>
      <c r="M56" s="34" t="s">
        <v>228</v>
      </c>
      <c r="N56" s="29">
        <v>50</v>
      </c>
      <c r="O56" s="29">
        <v>0</v>
      </c>
      <c r="P56" s="29">
        <v>1500</v>
      </c>
      <c r="Q56" s="29" t="s">
        <v>230</v>
      </c>
      <c r="R56" s="29"/>
      <c r="S56" s="29"/>
      <c r="T56"/>
    </row>
    <row r="57" spans="1:35" s="34" customFormat="1" x14ac:dyDescent="0.25">
      <c r="D57" s="40"/>
      <c r="E57"/>
      <c r="F57" s="3"/>
      <c r="G57" s="3"/>
      <c r="H57" s="3"/>
      <c r="I57" s="33"/>
      <c r="J57" s="29"/>
      <c r="K57" s="10"/>
      <c r="L57" s="29"/>
      <c r="M57"/>
      <c r="N57" s="29"/>
      <c r="O57" s="29"/>
      <c r="P57" s="29"/>
      <c r="Q57" s="3"/>
      <c r="R57" s="29"/>
      <c r="S57" s="29"/>
      <c r="T57"/>
    </row>
    <row r="58" spans="1:35" s="34" customFormat="1" x14ac:dyDescent="0.25">
      <c r="D58" s="40"/>
      <c r="E58"/>
      <c r="F58" s="3"/>
      <c r="G58" s="3"/>
      <c r="H58" s="3"/>
      <c r="I58" s="33"/>
      <c r="J58" s="29"/>
      <c r="K58" s="10"/>
      <c r="L58" s="29"/>
      <c r="M58"/>
      <c r="N58" s="29"/>
      <c r="O58" s="29"/>
      <c r="P58" s="29"/>
      <c r="Q58" s="3"/>
      <c r="R58" s="29"/>
      <c r="T58"/>
    </row>
    <row r="59" spans="1:35" s="34" customFormat="1" x14ac:dyDescent="0.25">
      <c r="D59" s="40"/>
      <c r="E59"/>
      <c r="F59" s="3"/>
      <c r="G59" s="3"/>
      <c r="H59" s="3"/>
      <c r="I59" s="33"/>
      <c r="J59" s="29"/>
      <c r="K59" s="10"/>
      <c r="L59" s="29"/>
      <c r="M59"/>
      <c r="N59" s="29"/>
      <c r="O59" s="3"/>
      <c r="P59" s="29"/>
      <c r="Q59" s="3"/>
      <c r="R59" s="3"/>
      <c r="T59"/>
    </row>
    <row r="60" spans="1:35" s="34" customFormat="1" x14ac:dyDescent="0.25">
      <c r="D60" s="40"/>
      <c r="E60"/>
      <c r="F60" s="3"/>
      <c r="G60" s="3"/>
      <c r="H60" s="3"/>
      <c r="I60" s="33"/>
      <c r="K60" s="10"/>
      <c r="L60" s="29"/>
      <c r="M60"/>
      <c r="N60" s="29"/>
      <c r="O60" s="3"/>
      <c r="P60" s="29"/>
      <c r="Q60" s="3"/>
      <c r="R60" s="3"/>
      <c r="T60"/>
    </row>
    <row r="61" spans="1:35" s="10" customFormat="1" x14ac:dyDescent="0.25">
      <c r="A61" s="12"/>
      <c r="B61" s="12"/>
      <c r="C61" s="12"/>
      <c r="D61"/>
      <c r="E61"/>
      <c r="F61" s="3"/>
      <c r="G61" s="3"/>
      <c r="H61" s="3"/>
      <c r="I61" s="33"/>
      <c r="J61" s="3"/>
      <c r="K61" s="3"/>
      <c r="L61" s="29"/>
      <c r="M61"/>
      <c r="N61" s="29"/>
      <c r="O61" s="3"/>
      <c r="P61" s="3"/>
      <c r="Q61" s="3"/>
      <c r="R61" s="3"/>
      <c r="S61" s="34"/>
      <c r="T61"/>
      <c r="U61"/>
      <c r="V61"/>
      <c r="W61"/>
      <c r="X61"/>
      <c r="Y61"/>
      <c r="Z61" s="12"/>
      <c r="AA61" s="12"/>
      <c r="AB61" s="12"/>
      <c r="AC61" s="12"/>
      <c r="AD61" s="12"/>
      <c r="AE61" s="12"/>
      <c r="AF61" s="12"/>
      <c r="AG61" s="12"/>
      <c r="AH61" s="12"/>
      <c r="AI61" s="12"/>
    </row>
    <row r="62" spans="1:35" s="10" customFormat="1" x14ac:dyDescent="0.25">
      <c r="A62" s="12"/>
      <c r="B62" s="12"/>
      <c r="C62" s="12"/>
      <c r="D62"/>
      <c r="E62" s="24"/>
      <c r="F62" s="23"/>
      <c r="G62" s="23"/>
      <c r="H62" s="26"/>
      <c r="I62" s="22"/>
      <c r="J62" s="22"/>
      <c r="K62" s="22"/>
      <c r="L62" s="22"/>
      <c r="M62" s="21"/>
      <c r="N62" s="22"/>
      <c r="O62" s="22"/>
      <c r="P62" s="22"/>
      <c r="Q62" s="23"/>
      <c r="R62" s="23"/>
      <c r="S62" s="22"/>
      <c r="T62" s="21"/>
      <c r="U62"/>
      <c r="V62"/>
      <c r="W62"/>
      <c r="X62"/>
      <c r="Y62"/>
      <c r="Z62" s="12"/>
      <c r="AA62" s="12"/>
      <c r="AB62" s="12"/>
      <c r="AC62" s="12"/>
      <c r="AD62" s="12"/>
      <c r="AE62" s="12"/>
      <c r="AF62" s="12"/>
      <c r="AG62" s="12"/>
      <c r="AH62" s="12"/>
      <c r="AI62" s="12"/>
    </row>
    <row r="63" spans="1:35" s="34" customFormat="1" x14ac:dyDescent="0.25">
      <c r="D63" s="40"/>
      <c r="E63" s="2" t="s">
        <v>196</v>
      </c>
      <c r="F63" s="3" t="s">
        <v>197</v>
      </c>
      <c r="G63" s="3" t="s">
        <v>48</v>
      </c>
      <c r="H63" s="3" t="s">
        <v>45</v>
      </c>
      <c r="I63" s="29">
        <v>0</v>
      </c>
      <c r="J63" s="29">
        <v>4</v>
      </c>
      <c r="K63" s="10" t="str">
        <f xml:space="preserve"> IFERROR("0x" &amp; DEC2HEX(VLOOKUP(F63,Common!$C$10:$D$34,2,FALSE),2) &amp; DEC2HEX(I63,3) &amp; DEC2HEX(VLOOKUP(G63,Common!$C$51:$D$55,2,FALSE),1) &amp; DEC2HEX(1+2*VLOOKUP(H63,Common!$C$69:$D$72,2,FALSE),1) &amp; DEC2HEX(IFERROR(LOG(J63,2),0),1),0)</f>
        <v>0x06000112</v>
      </c>
      <c r="L63" s="29" t="str">
        <f>IF(AND(LEN(E63)&lt;&gt;0,S63=""),F63&amp;"_"&amp;UPPER(E63),"")</f>
        <v>DBG_WRITES_CONF</v>
      </c>
      <c r="M63" t="s">
        <v>198</v>
      </c>
      <c r="N63" s="29"/>
      <c r="O63" s="29">
        <v>0</v>
      </c>
      <c r="P63" s="29">
        <v>1000000</v>
      </c>
      <c r="Q63" s="3" t="s">
        <v>199</v>
      </c>
      <c r="R63" s="29"/>
      <c r="S63" s="29"/>
      <c r="T63" t="s">
        <v>200</v>
      </c>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10" customFormat="1" x14ac:dyDescent="0.25">
      <c r="A66" s="12"/>
      <c r="B66" s="12"/>
      <c r="C66" s="12"/>
      <c r="D66"/>
      <c r="E66" s="24"/>
      <c r="F66" s="23"/>
      <c r="G66" s="23"/>
      <c r="H66" s="26"/>
      <c r="I66" s="22"/>
      <c r="J66" s="22"/>
      <c r="K66" s="22"/>
      <c r="L66" s="22"/>
      <c r="M66" s="21"/>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4"/>
      <c r="F67" s="23"/>
      <c r="G67" s="23"/>
      <c r="H67" s="26"/>
      <c r="I67" s="22"/>
      <c r="J67" s="22"/>
      <c r="K67" s="22"/>
      <c r="L67" s="22"/>
      <c r="M67" s="21"/>
      <c r="N67" s="22"/>
      <c r="O67" s="22"/>
      <c r="P67" s="22"/>
      <c r="Q67" s="23"/>
      <c r="R67" s="23"/>
      <c r="S67" s="22"/>
      <c r="T67" s="21"/>
      <c r="U67"/>
      <c r="V67"/>
      <c r="W67"/>
      <c r="X67"/>
      <c r="Y67"/>
      <c r="Z67" s="12"/>
      <c r="AA67" s="12"/>
      <c r="AB67" s="12"/>
      <c r="AC67" s="12"/>
      <c r="AD67" s="12"/>
      <c r="AE67" s="12"/>
      <c r="AF67" s="12"/>
      <c r="AG67" s="12"/>
      <c r="AH67" s="12"/>
      <c r="AI67" s="12"/>
    </row>
    <row r="68" spans="1:35" s="10" customFormat="1" x14ac:dyDescent="0.25">
      <c r="A68" s="12"/>
      <c r="B68" s="12"/>
      <c r="C68" s="12"/>
      <c r="D68"/>
      <c r="E68" s="24"/>
      <c r="F68" s="23"/>
      <c r="G68" s="23"/>
      <c r="H68" s="26"/>
      <c r="I68" s="22"/>
      <c r="J68" s="22"/>
      <c r="K68" s="22"/>
      <c r="L68" s="22"/>
      <c r="M68" s="21"/>
      <c r="N68" s="22"/>
      <c r="O68" s="22"/>
      <c r="P68" s="22"/>
      <c r="Q68" s="23"/>
      <c r="R68" s="23"/>
      <c r="S68" s="22"/>
      <c r="T68" s="21"/>
      <c r="U68"/>
      <c r="V68"/>
      <c r="W68"/>
      <c r="X68"/>
      <c r="Y68"/>
      <c r="Z68" s="12"/>
      <c r="AA68" s="12"/>
      <c r="AB68" s="12"/>
      <c r="AC68" s="12"/>
      <c r="AD68" s="12"/>
      <c r="AE68" s="12"/>
      <c r="AF68" s="12"/>
      <c r="AG68" s="12"/>
      <c r="AH68" s="12"/>
      <c r="AI68" s="12"/>
    </row>
    <row r="69" spans="1:35" s="10" customFormat="1" x14ac:dyDescent="0.25">
      <c r="A69" s="12"/>
      <c r="B69" s="12"/>
      <c r="C69" s="12"/>
      <c r="D69"/>
      <c r="E69" s="24"/>
      <c r="F69" s="23"/>
      <c r="G69" s="23"/>
      <c r="H69" s="26"/>
      <c r="I69" s="22"/>
      <c r="J69" s="22"/>
      <c r="K69" s="22"/>
      <c r="L69" s="22"/>
      <c r="M69" s="21"/>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c r="F70" s="23"/>
      <c r="G70" s="23"/>
      <c r="H70" s="26"/>
      <c r="I70" s="22"/>
      <c r="J70" s="22"/>
      <c r="K70" s="22"/>
      <c r="L70" s="22"/>
      <c r="M70" s="21"/>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c r="F71" s="23"/>
      <c r="G71" s="23"/>
      <c r="H71" s="26"/>
      <c r="I71" s="22"/>
      <c r="J71" s="22"/>
      <c r="K71" s="22"/>
      <c r="L71" s="22"/>
      <c r="M71" s="21"/>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s="24"/>
      <c r="F72" s="23"/>
      <c r="G72" s="23"/>
      <c r="H72" s="26"/>
      <c r="I72" s="22"/>
      <c r="J72" s="22"/>
      <c r="K72" s="22"/>
      <c r="L72" s="22"/>
      <c r="M72" s="21"/>
      <c r="N72" s="22"/>
      <c r="O72" s="22"/>
      <c r="P72" s="22"/>
      <c r="Q72" s="23"/>
      <c r="R72" s="23"/>
      <c r="S72" s="22"/>
      <c r="T72" s="21"/>
      <c r="U72"/>
      <c r="V72"/>
      <c r="W72"/>
      <c r="X72"/>
      <c r="Y72"/>
      <c r="Z72" s="12"/>
      <c r="AA72" s="12"/>
      <c r="AB72" s="12"/>
      <c r="AC72" s="12"/>
      <c r="AD72" s="12"/>
      <c r="AE72" s="12"/>
      <c r="AF72" s="12"/>
      <c r="AG72" s="12"/>
      <c r="AH72" s="12"/>
      <c r="AI72" s="12"/>
    </row>
    <row r="73" spans="1:35" s="10" customFormat="1" x14ac:dyDescent="0.25">
      <c r="A73" s="12"/>
      <c r="B73" s="12"/>
      <c r="C73" s="12"/>
      <c r="D73"/>
      <c r="E73" s="24"/>
      <c r="F73" s="23"/>
      <c r="G73" s="23"/>
      <c r="H73" s="26"/>
      <c r="I73" s="22"/>
      <c r="J73" s="22"/>
      <c r="K73" s="22"/>
      <c r="L73" s="22"/>
      <c r="M73" s="21"/>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c r="F74" s="23"/>
      <c r="G74" s="23"/>
      <c r="H74" s="26"/>
      <c r="I74" s="22"/>
      <c r="J74" s="22"/>
      <c r="K74" s="22"/>
      <c r="L74" s="22"/>
      <c r="M74" s="21"/>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2"/>
      <c r="J75" s="22"/>
      <c r="K75" s="22"/>
      <c r="L75" s="22"/>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c r="F79" s="23"/>
      <c r="G79" s="23"/>
      <c r="H79" s="26"/>
      <c r="I79" s="22"/>
      <c r="J79" s="22"/>
      <c r="K79" s="22"/>
      <c r="L79" s="22"/>
      <c r="M79" s="21"/>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25">
      <c r="A80" s="12"/>
      <c r="B80" s="12"/>
      <c r="C80" s="12"/>
      <c r="D80"/>
      <c r="E80" s="24"/>
      <c r="F80" s="23"/>
      <c r="G80" s="23"/>
      <c r="H80" s="26"/>
      <c r="I80" s="22"/>
      <c r="J80" s="22"/>
      <c r="K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2"/>
      <c r="H87" s="25"/>
      <c r="I87" s="22"/>
      <c r="J87" s="22"/>
      <c r="K87" s="22"/>
      <c r="L87" s="22"/>
      <c r="M87" s="24"/>
      <c r="N87" s="22"/>
      <c r="O87" s="22"/>
      <c r="P87" s="22"/>
      <c r="Q87" s="22"/>
      <c r="R87" s="22"/>
      <c r="S87" s="22"/>
      <c r="T87" s="19"/>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2"/>
      <c r="H88" s="22"/>
      <c r="I88" s="22"/>
      <c r="J88" s="22"/>
      <c r="K88" s="22"/>
      <c r="L88" s="22"/>
      <c r="M88" s="21"/>
      <c r="N88" s="22"/>
      <c r="O88" s="22"/>
      <c r="P88" s="22"/>
      <c r="Q88" s="22"/>
      <c r="R88" s="22"/>
      <c r="S88" s="22"/>
      <c r="T88" s="19"/>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4"/>
      <c r="N89" s="22"/>
      <c r="O89" s="22"/>
      <c r="P89" s="22"/>
      <c r="Q89" s="22"/>
      <c r="R89" s="28"/>
      <c r="S89" s="22"/>
      <c r="T89" s="24"/>
      <c r="U89"/>
      <c r="V89"/>
      <c r="W89"/>
      <c r="X89"/>
      <c r="Y89"/>
      <c r="Z89" s="12"/>
      <c r="AA89" s="12"/>
      <c r="AB89" s="12"/>
      <c r="AC89" s="12"/>
      <c r="AD89" s="12"/>
      <c r="AE89" s="12"/>
      <c r="AF89" s="12"/>
      <c r="AG89" s="12"/>
      <c r="AH89" s="12"/>
      <c r="AI89" s="12"/>
    </row>
    <row r="90" spans="1:35" s="10" customFormat="1" x14ac:dyDescent="0.25">
      <c r="A90" s="12"/>
      <c r="B90" s="12"/>
      <c r="C90" s="12"/>
      <c r="D90"/>
      <c r="E90" s="19"/>
      <c r="F90" s="23"/>
      <c r="G90" s="22"/>
      <c r="H90" s="22"/>
      <c r="I90" s="22"/>
      <c r="J90" s="22"/>
      <c r="K90" s="22"/>
      <c r="L90" s="23"/>
      <c r="M90" s="24"/>
      <c r="N90" s="22"/>
      <c r="O90" s="22"/>
      <c r="P90" s="22"/>
      <c r="Q90" s="22"/>
      <c r="R90" s="28"/>
      <c r="S90" s="22"/>
      <c r="T90" s="24"/>
      <c r="U90"/>
      <c r="V90"/>
      <c r="W90"/>
      <c r="X90"/>
      <c r="Y90"/>
      <c r="Z90" s="12"/>
      <c r="AA90" s="12"/>
      <c r="AB90" s="12"/>
      <c r="AC90" s="12"/>
      <c r="AD90" s="12"/>
      <c r="AE90" s="12"/>
      <c r="AF90" s="12"/>
      <c r="AG90" s="12"/>
      <c r="AH90" s="12"/>
      <c r="AI90" s="12"/>
    </row>
    <row r="91" spans="1:35" s="10" customFormat="1" x14ac:dyDescent="0.25">
      <c r="A91" s="12"/>
      <c r="B91" s="12"/>
      <c r="C91" s="12"/>
      <c r="D91"/>
      <c r="E91" s="19"/>
      <c r="F91" s="23"/>
      <c r="G91" s="22"/>
      <c r="H91" s="25"/>
      <c r="I91" s="22"/>
      <c r="J91" s="22"/>
      <c r="K91" s="22"/>
      <c r="L91" s="23"/>
      <c r="M91" s="24"/>
      <c r="N91" s="22"/>
      <c r="O91" s="22"/>
      <c r="P91" s="22"/>
      <c r="Q91" s="22"/>
      <c r="R91" s="28"/>
      <c r="S91" s="22"/>
      <c r="T91" s="24"/>
      <c r="U91"/>
      <c r="V91"/>
      <c r="W91"/>
      <c r="X91"/>
      <c r="Y91"/>
      <c r="Z91" s="12"/>
      <c r="AA91" s="12"/>
      <c r="AB91" s="12"/>
      <c r="AC91" s="12"/>
      <c r="AD91" s="12"/>
      <c r="AE91" s="12"/>
      <c r="AF91" s="12"/>
      <c r="AG91" s="12"/>
      <c r="AH91" s="12"/>
      <c r="AI91" s="12"/>
    </row>
    <row r="92" spans="1:35" s="10" customFormat="1" x14ac:dyDescent="0.25">
      <c r="A92" s="12"/>
      <c r="B92" s="12"/>
      <c r="C92" s="12"/>
      <c r="D92"/>
      <c r="E92" s="19"/>
      <c r="F92" s="23"/>
      <c r="G92" s="22"/>
      <c r="H92" s="22"/>
      <c r="I92" s="22"/>
      <c r="J92" s="22"/>
      <c r="K92" s="22"/>
      <c r="L92" s="23"/>
      <c r="M92" s="24"/>
      <c r="N92" s="22"/>
      <c r="O92" s="22"/>
      <c r="P92" s="22"/>
      <c r="Q92" s="22"/>
      <c r="R92" s="28"/>
      <c r="S92" s="22"/>
      <c r="T92" s="24"/>
      <c r="U92"/>
      <c r="V92"/>
      <c r="W92"/>
      <c r="X92"/>
      <c r="Y92"/>
      <c r="Z92" s="12"/>
      <c r="AA92" s="12"/>
      <c r="AB92" s="12"/>
      <c r="AC92" s="12"/>
      <c r="AD92" s="12"/>
      <c r="AE92" s="12"/>
      <c r="AF92" s="12"/>
      <c r="AG92" s="12"/>
      <c r="AH92" s="12"/>
      <c r="AI92" s="12"/>
    </row>
    <row r="93" spans="1:35" s="10" customFormat="1" x14ac:dyDescent="0.25">
      <c r="A93" s="12"/>
      <c r="B93" s="12"/>
      <c r="C93" s="12"/>
      <c r="D93"/>
      <c r="E93" s="19"/>
      <c r="F93" s="23"/>
      <c r="G93" s="22"/>
      <c r="H93" s="22"/>
      <c r="I93" s="22"/>
      <c r="J93" s="22"/>
      <c r="K93" s="22"/>
      <c r="L93" s="23"/>
      <c r="M93" s="24"/>
      <c r="N93" s="22"/>
      <c r="O93" s="22"/>
      <c r="P93" s="22"/>
      <c r="Q93" s="22"/>
      <c r="R93" s="28"/>
      <c r="S93" s="22"/>
      <c r="T93" s="24"/>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3"/>
      <c r="I94" s="22"/>
      <c r="J94" s="22"/>
      <c r="K94" s="22"/>
      <c r="L94" s="22"/>
      <c r="M94" s="24"/>
      <c r="N94" s="22"/>
      <c r="O94" s="22"/>
      <c r="P94" s="22"/>
      <c r="Q94" s="22"/>
      <c r="R94" s="28"/>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19"/>
      <c r="F95" s="23"/>
      <c r="G95" s="22"/>
      <c r="H95" s="22"/>
      <c r="I95" s="22"/>
      <c r="J95" s="22"/>
      <c r="K95" s="22"/>
      <c r="L95" s="23"/>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1"/>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1"/>
      <c r="F97" s="23"/>
      <c r="G97" s="23"/>
      <c r="H97" s="23"/>
      <c r="I97" s="22"/>
      <c r="J97" s="22"/>
      <c r="K97" s="22"/>
      <c r="L97" s="22"/>
      <c r="M97" s="21"/>
      <c r="N97" s="22"/>
      <c r="O97" s="22"/>
      <c r="P97" s="22"/>
      <c r="Q97" s="22"/>
      <c r="R97" s="22"/>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3"/>
      <c r="I98" s="22"/>
      <c r="J98" s="22"/>
      <c r="K98" s="22"/>
      <c r="L98" s="23"/>
      <c r="M98" s="21"/>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3"/>
      <c r="I99" s="22"/>
      <c r="J99" s="22"/>
      <c r="K99" s="22"/>
      <c r="L99" s="23"/>
      <c r="M99" s="21"/>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1"/>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30"/>
      <c r="N101" s="22"/>
      <c r="O101" s="22"/>
      <c r="P101" s="22"/>
      <c r="Q101" s="23"/>
      <c r="R101" s="23"/>
      <c r="S101" s="22"/>
      <c r="T101" s="27"/>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4"/>
      <c r="N102" s="22"/>
      <c r="O102" s="22"/>
      <c r="P102" s="22"/>
      <c r="Q102" s="23"/>
      <c r="R102" s="23"/>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4"/>
      <c r="N103" s="22"/>
      <c r="O103" s="22"/>
      <c r="P103" s="22"/>
      <c r="Q103" s="23"/>
      <c r="R103" s="23"/>
      <c r="S103" s="22"/>
      <c r="T103" s="24"/>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4"/>
      <c r="N104" s="22"/>
      <c r="O104" s="22"/>
      <c r="P104" s="22"/>
      <c r="Q104" s="23"/>
      <c r="R104" s="23"/>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4"/>
      <c r="N105" s="22"/>
      <c r="O105" s="22"/>
      <c r="P105" s="22"/>
      <c r="Q105" s="23"/>
      <c r="R105" s="23"/>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1"/>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3"/>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3"/>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3"/>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6"/>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21"/>
      <c r="N120" s="22"/>
      <c r="O120" s="22"/>
      <c r="P120" s="22"/>
      <c r="Q120" s="22"/>
      <c r="R120" s="28"/>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1"/>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1"/>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1"/>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1"/>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1"/>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1"/>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2"/>
      <c r="F127" s="22"/>
      <c r="G127" s="22"/>
      <c r="H127" s="22"/>
      <c r="I127" s="22"/>
      <c r="J127" s="22"/>
      <c r="K127" s="22"/>
      <c r="L127" s="22"/>
      <c r="M127" s="22"/>
      <c r="N127" s="22"/>
      <c r="O127" s="22"/>
      <c r="P127" s="22"/>
      <c r="Q127" s="22"/>
      <c r="R127" s="28"/>
      <c r="S127" s="22"/>
      <c r="T127" s="22"/>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s="24"/>
      <c r="F161" s="23"/>
      <c r="G161" s="22"/>
      <c r="H161" s="25"/>
      <c r="I161" s="22"/>
      <c r="J161" s="22"/>
      <c r="K161" s="22"/>
      <c r="L161" s="22"/>
      <c r="M161" s="24"/>
      <c r="N161" s="22"/>
      <c r="O161" s="22"/>
      <c r="P161" s="22"/>
      <c r="Q161" s="22"/>
      <c r="R161" s="22"/>
      <c r="S161" s="22"/>
      <c r="T161" s="19"/>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c r="F163"/>
      <c r="G163"/>
      <c r="H163"/>
      <c r="I163"/>
      <c r="J163"/>
      <c r="K163"/>
      <c r="L163"/>
      <c r="M163"/>
      <c r="N163"/>
      <c r="O163"/>
      <c r="P163"/>
      <c r="Q163"/>
      <c r="R163"/>
      <c r="S163"/>
      <c r="T163"/>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c r="F164"/>
      <c r="G164"/>
      <c r="H164"/>
      <c r="I164"/>
      <c r="J164"/>
      <c r="K164"/>
      <c r="L164"/>
      <c r="M164"/>
      <c r="N164"/>
      <c r="O164"/>
      <c r="P164"/>
      <c r="Q164"/>
      <c r="R164"/>
      <c r="S164"/>
      <c r="T164"/>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c r="F165"/>
      <c r="G165"/>
      <c r="H165"/>
      <c r="I165"/>
      <c r="J165"/>
      <c r="K165"/>
      <c r="L165"/>
      <c r="M165"/>
      <c r="N165"/>
      <c r="O165"/>
      <c r="P165"/>
      <c r="Q165"/>
      <c r="R165"/>
      <c r="S165"/>
      <c r="T165"/>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c r="F166"/>
      <c r="G166"/>
      <c r="H166"/>
      <c r="I166"/>
      <c r="J166"/>
      <c r="K166"/>
      <c r="L166"/>
      <c r="M166"/>
      <c r="N166"/>
      <c r="O166"/>
      <c r="P166"/>
      <c r="Q166"/>
      <c r="R166"/>
      <c r="S166"/>
      <c r="T166"/>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c r="F167"/>
      <c r="G167"/>
      <c r="H167"/>
      <c r="I167"/>
      <c r="J167"/>
      <c r="K167"/>
      <c r="L167"/>
      <c r="M167"/>
      <c r="N167"/>
      <c r="O167"/>
      <c r="P167"/>
      <c r="Q167"/>
      <c r="R167"/>
      <c r="S167"/>
      <c r="T167"/>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s="24"/>
      <c r="F174" s="23"/>
      <c r="G174" s="22"/>
      <c r="H174" s="22"/>
      <c r="I174" s="22"/>
      <c r="J174" s="22"/>
      <c r="K174" s="22"/>
      <c r="L174" s="22"/>
      <c r="M174" s="21"/>
      <c r="N174" s="22"/>
      <c r="O174" s="22"/>
      <c r="P174" s="22"/>
      <c r="Q174" s="22"/>
      <c r="R174" s="22"/>
      <c r="S174" s="22"/>
      <c r="T174" s="19"/>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4"/>
      <c r="N175" s="22"/>
      <c r="O175" s="22"/>
      <c r="P175" s="22"/>
      <c r="Q175" s="22"/>
      <c r="R175" s="28"/>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19"/>
      <c r="F176" s="23"/>
      <c r="G176" s="22"/>
      <c r="H176" s="22"/>
      <c r="I176" s="22"/>
      <c r="J176" s="22"/>
      <c r="K176" s="22"/>
      <c r="L176" s="23"/>
      <c r="M176" s="24"/>
      <c r="N176" s="22"/>
      <c r="O176" s="22"/>
      <c r="P176" s="22"/>
      <c r="Q176" s="22"/>
      <c r="R176" s="28"/>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19"/>
      <c r="F177" s="23"/>
      <c r="G177" s="22"/>
      <c r="H177" s="22"/>
      <c r="I177" s="22"/>
      <c r="J177" s="22"/>
      <c r="K177" s="22"/>
      <c r="L177" s="23"/>
      <c r="M177" s="24"/>
      <c r="N177" s="22"/>
      <c r="O177" s="22"/>
      <c r="P177" s="22"/>
      <c r="Q177" s="22"/>
      <c r="R177" s="28"/>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19"/>
      <c r="F178" s="23"/>
      <c r="G178" s="22"/>
      <c r="H178" s="25"/>
      <c r="I178" s="22"/>
      <c r="J178" s="22"/>
      <c r="K178" s="22"/>
      <c r="L178" s="23"/>
      <c r="M178" s="24"/>
      <c r="N178" s="22"/>
      <c r="O178" s="22"/>
      <c r="P178" s="22"/>
      <c r="Q178" s="22"/>
      <c r="R178" s="28"/>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19"/>
      <c r="F179" s="23"/>
      <c r="G179" s="22"/>
      <c r="H179" s="22"/>
      <c r="I179" s="22"/>
      <c r="J179" s="22"/>
      <c r="K179" s="22"/>
      <c r="L179" s="23"/>
      <c r="M179" s="24"/>
      <c r="N179" s="22"/>
      <c r="O179" s="22"/>
      <c r="P179" s="22"/>
      <c r="Q179" s="22"/>
      <c r="R179" s="28"/>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19"/>
      <c r="F180" s="23"/>
      <c r="G180" s="22"/>
      <c r="H180" s="22"/>
      <c r="I180" s="22"/>
      <c r="J180" s="22"/>
      <c r="K180" s="22"/>
      <c r="L180" s="23"/>
      <c r="M180" s="24"/>
      <c r="N180" s="22"/>
      <c r="O180" s="22"/>
      <c r="P180" s="22"/>
      <c r="Q180" s="22"/>
      <c r="R180" s="28"/>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2"/>
      <c r="F181" s="23"/>
      <c r="G181" s="22"/>
      <c r="H181" s="22"/>
      <c r="I181" s="22"/>
      <c r="J181" s="22"/>
      <c r="K181" s="22"/>
      <c r="L181" s="23"/>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2"/>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2"/>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3"/>
      <c r="I184" s="22"/>
      <c r="J184" s="22"/>
      <c r="K184" s="22"/>
      <c r="L184" s="22"/>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3"/>
      <c r="I185" s="22"/>
      <c r="J185" s="22"/>
      <c r="K185" s="22"/>
      <c r="L185" s="22"/>
      <c r="M185" s="24"/>
      <c r="N185" s="22"/>
      <c r="O185" s="22"/>
      <c r="P185" s="22"/>
      <c r="Q185" s="23"/>
      <c r="R185" s="23"/>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4"/>
      <c r="F186" s="23"/>
      <c r="G186" s="23"/>
      <c r="H186" s="23"/>
      <c r="I186" s="22"/>
      <c r="J186" s="22"/>
      <c r="K186" s="22"/>
      <c r="L186" s="22"/>
      <c r="M186" s="24"/>
      <c r="N186" s="22"/>
      <c r="O186" s="22"/>
      <c r="P186" s="22"/>
      <c r="Q186" s="23"/>
      <c r="R186" s="23"/>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3"/>
      <c r="H187" s="26"/>
      <c r="I187" s="22"/>
      <c r="J187" s="22"/>
      <c r="K187" s="22"/>
      <c r="L187" s="22"/>
      <c r="M187" s="24"/>
      <c r="N187" s="22"/>
      <c r="O187" s="22"/>
      <c r="P187" s="22"/>
      <c r="Q187" s="23"/>
      <c r="R187" s="23"/>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4"/>
      <c r="F188" s="23"/>
      <c r="G188" s="23"/>
      <c r="H188" s="26"/>
      <c r="I188" s="22"/>
      <c r="J188" s="22"/>
      <c r="K188" s="22"/>
      <c r="L188" s="22"/>
      <c r="M188" s="24"/>
      <c r="N188" s="22"/>
      <c r="O188" s="22"/>
      <c r="P188" s="22"/>
      <c r="Q188" s="23"/>
      <c r="R188" s="23"/>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4"/>
      <c r="F189" s="23"/>
      <c r="G189" s="23"/>
      <c r="H189" s="26"/>
      <c r="I189" s="22"/>
      <c r="J189" s="22"/>
      <c r="K189" s="22"/>
      <c r="L189" s="22"/>
      <c r="M189" s="24"/>
      <c r="N189" s="22"/>
      <c r="O189" s="22"/>
      <c r="P189" s="22"/>
      <c r="Q189" s="23"/>
      <c r="R189" s="23"/>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6"/>
      <c r="I190" s="22"/>
      <c r="J190" s="22"/>
      <c r="K190" s="22"/>
      <c r="L190" s="22"/>
      <c r="M190" s="24"/>
      <c r="N190" s="22"/>
      <c r="O190" s="22"/>
      <c r="P190" s="22"/>
      <c r="Q190" s="23"/>
      <c r="R190" s="23"/>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6"/>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6"/>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1"/>
      <c r="N194" s="22"/>
      <c r="O194" s="22"/>
      <c r="P194" s="22"/>
      <c r="Q194" s="22"/>
      <c r="R194" s="28"/>
      <c r="S194" s="22"/>
      <c r="T194" s="20"/>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2"/>
      <c r="H195" s="22"/>
      <c r="I195" s="22"/>
      <c r="J195" s="22"/>
      <c r="K195" s="22"/>
      <c r="L195" s="22"/>
      <c r="M195" s="21"/>
      <c r="N195" s="22"/>
      <c r="O195" s="22"/>
      <c r="P195" s="22"/>
      <c r="Q195" s="22"/>
      <c r="R195" s="22"/>
      <c r="S195" s="22"/>
      <c r="T195" s="19"/>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2"/>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5"/>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19"/>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19"/>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2"/>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2"/>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3"/>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3"/>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1"/>
      <c r="N215" s="22"/>
      <c r="O215" s="22"/>
      <c r="P215" s="22"/>
      <c r="Q215" s="22"/>
      <c r="R215" s="28"/>
      <c r="S215" s="22"/>
      <c r="T215" s="20"/>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2"/>
      <c r="H216" s="22"/>
      <c r="I216" s="22"/>
      <c r="J216" s="22"/>
      <c r="K216" s="22"/>
      <c r="L216" s="22"/>
      <c r="M216" s="21"/>
      <c r="N216" s="22"/>
      <c r="O216" s="22"/>
      <c r="P216" s="22"/>
      <c r="Q216" s="22"/>
      <c r="R216" s="22"/>
      <c r="S216" s="22"/>
      <c r="T216" s="19"/>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2"/>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5"/>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19"/>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19"/>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2"/>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2"/>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3"/>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3"/>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1"/>
      <c r="N236" s="22"/>
      <c r="O236" s="22"/>
      <c r="P236" s="22"/>
      <c r="Q236" s="22"/>
      <c r="R236" s="28"/>
      <c r="S236" s="22"/>
      <c r="T236" s="20"/>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2"/>
      <c r="H237" s="22"/>
      <c r="I237" s="22"/>
      <c r="J237" s="22"/>
      <c r="K237" s="22"/>
      <c r="L237" s="22"/>
      <c r="M237" s="21"/>
      <c r="N237" s="22"/>
      <c r="O237" s="22"/>
      <c r="P237" s="22"/>
      <c r="Q237" s="22"/>
      <c r="R237" s="22"/>
      <c r="S237" s="22"/>
      <c r="T237" s="19"/>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2"/>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5"/>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19"/>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19"/>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2"/>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2"/>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3"/>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3"/>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1"/>
      <c r="N257" s="22"/>
      <c r="O257" s="22"/>
      <c r="P257" s="22"/>
      <c r="Q257" s="22"/>
      <c r="R257" s="28"/>
      <c r="S257" s="22"/>
      <c r="T257" s="20"/>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s="12"/>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s="12"/>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s="12"/>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s="1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s="12"/>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s="15"/>
      <c r="E450"/>
      <c r="F450"/>
      <c r="G450" s="3"/>
      <c r="H450" s="3"/>
      <c r="I450" s="3"/>
      <c r="J450" s="3"/>
      <c r="K450"/>
      <c r="L450"/>
      <c r="M450"/>
      <c r="N450" s="3"/>
      <c r="O450" s="3"/>
      <c r="P450" s="3"/>
      <c r="Q450" s="3"/>
      <c r="R450" s="3"/>
      <c r="S450"/>
      <c r="T450"/>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5"/>
      <c r="E451"/>
      <c r="F451"/>
      <c r="G451" s="3"/>
      <c r="H451" s="3"/>
      <c r="I451" s="3"/>
      <c r="J451" s="3"/>
      <c r="K451"/>
      <c r="L451"/>
      <c r="M451"/>
      <c r="N451" s="3"/>
      <c r="O451" s="3"/>
      <c r="P451" s="3"/>
      <c r="Q451" s="3"/>
      <c r="R451" s="3"/>
      <c r="S451"/>
      <c r="T451"/>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5"/>
      <c r="E452"/>
      <c r="F452"/>
      <c r="G452" s="3"/>
      <c r="H452" s="3"/>
      <c r="I452" s="3"/>
      <c r="J452" s="3"/>
      <c r="K452"/>
      <c r="L452"/>
      <c r="M452"/>
      <c r="N452" s="3"/>
      <c r="O452" s="3"/>
      <c r="P452" s="3"/>
      <c r="Q452" s="3"/>
      <c r="R452" s="3"/>
      <c r="S452"/>
      <c r="T45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c r="F453"/>
      <c r="G453" s="3"/>
      <c r="H453" s="3"/>
      <c r="I453" s="3"/>
      <c r="J453" s="3"/>
      <c r="K453"/>
      <c r="L453"/>
      <c r="M453"/>
      <c r="N453" s="3"/>
      <c r="O453" s="3"/>
      <c r="P453" s="3"/>
      <c r="Q453" s="3"/>
      <c r="R453" s="3"/>
      <c r="S453"/>
      <c r="T453"/>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c r="F454"/>
      <c r="G454" s="3"/>
      <c r="H454" s="3"/>
      <c r="I454" s="3"/>
      <c r="J454" s="3"/>
      <c r="K454"/>
      <c r="L454"/>
      <c r="M454"/>
      <c r="N454" s="3"/>
      <c r="O454" s="3"/>
      <c r="P454" s="3"/>
      <c r="Q454" s="3"/>
      <c r="R454" s="3"/>
      <c r="S454"/>
      <c r="T454"/>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10</xdr:col>
                <xdr:colOff>781050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24" sqref="F24"/>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204</v>
      </c>
      <c r="D16" s="3">
        <v>5</v>
      </c>
      <c r="E16" t="s">
        <v>205</v>
      </c>
      <c r="F16" t="s">
        <v>206</v>
      </c>
    </row>
    <row r="17" spans="3:6" x14ac:dyDescent="0.25">
      <c r="C17" t="s">
        <v>197</v>
      </c>
      <c r="D17" s="3">
        <v>6</v>
      </c>
      <c r="E17" t="s">
        <v>87</v>
      </c>
      <c r="F17" t="s">
        <v>203</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2024-09-17T09:36:41Z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