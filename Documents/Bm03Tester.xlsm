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D:\work\gitlab\fw-bm03-tester\Documents\"/>
    </mc:Choice>
  </mc:AlternateContent>
  <xr:revisionPtr revIDLastSave="0" documentId="13_ncr:1_{2529F661-932C-4638-914C-8BA5BF84961A}" xr6:coauthVersionLast="47" xr6:coauthVersionMax="47" xr10:uidLastSave="{00000000-0000-0000-0000-000000000000}"/>
  <bookViews>
    <workbookView xWindow="22200" yWindow="420" windowWidth="24990" windowHeight="2058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51" i="25" l="1"/>
  <c r="K51" i="25"/>
  <c r="I51" i="25"/>
  <c r="L30" i="25"/>
  <c r="I50" i="25"/>
  <c r="K50" i="25"/>
  <c r="L50" i="25"/>
  <c r="K63" i="25"/>
  <c r="K45" i="25"/>
  <c r="L46" i="25"/>
  <c r="I46" i="25"/>
  <c r="K46" i="25" s="1"/>
  <c r="L45" i="25"/>
  <c r="L63" i="25"/>
  <c r="L29" i="25"/>
  <c r="F10" i="25"/>
  <c r="F8" i="25"/>
  <c r="L41" i="25" l="1"/>
  <c r="L40" i="25"/>
  <c r="L39" i="25"/>
  <c r="L38" i="25"/>
  <c r="L36" i="25"/>
  <c r="L35" i="25"/>
  <c r="L34" i="25"/>
  <c r="L33" i="25"/>
  <c r="L28" i="25"/>
  <c r="L27" i="25"/>
  <c r="L20" i="25"/>
  <c r="L19" i="25"/>
  <c r="L18" i="25"/>
  <c r="K38" i="25"/>
  <c r="K33" i="25"/>
  <c r="I39" i="25" l="1"/>
  <c r="I40" i="25" l="1"/>
  <c r="K39" i="25"/>
  <c r="I41" i="25" l="1"/>
  <c r="K41" i="25" s="1"/>
  <c r="K40" i="25"/>
  <c r="I18" i="25" l="1"/>
  <c r="F12" i="25"/>
  <c r="F7" i="25"/>
  <c r="K18" i="25" l="1"/>
  <c r="I19" i="25"/>
  <c r="I20" i="25" s="1"/>
  <c r="I21" i="25" s="1"/>
  <c r="I22" i="25" l="1"/>
  <c r="K21" i="25"/>
  <c r="K19" i="25"/>
  <c r="I34" i="25"/>
  <c r="K34" i="25" s="1"/>
  <c r="I23" i="25" l="1"/>
  <c r="K22" i="25"/>
  <c r="K20" i="25"/>
  <c r="I35" i="25"/>
  <c r="K23" i="25" l="1"/>
  <c r="I24" i="25"/>
  <c r="K24" i="25" s="1"/>
  <c r="I25" i="25"/>
  <c r="I36" i="25"/>
  <c r="K36" i="25" s="1"/>
  <c r="K35" i="25"/>
  <c r="I26" i="25" l="1"/>
  <c r="K25" i="25"/>
  <c r="I27" i="25" l="1"/>
  <c r="K26" i="25"/>
  <c r="I28" i="25" l="1"/>
  <c r="K27" i="25"/>
  <c r="I29" i="25" l="1"/>
  <c r="K28" i="25"/>
  <c r="I30" i="25" l="1"/>
  <c r="K30" i="25" s="1"/>
  <c r="K29" i="25"/>
</calcChain>
</file>

<file path=xl/sharedStrings.xml><?xml version="1.0" encoding="utf-8"?>
<sst xmlns="http://schemas.openxmlformats.org/spreadsheetml/2006/main" count="330" uniqueCount="221">
  <si>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</si>
  <si>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</si>
  <si>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</si>
  <si>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</si>
  <si>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</si>
  <si>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</si>
  <si>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</si>
  <si>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</si>
  <si>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</si>
  <si>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</si>
  <si>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</si>
  <si>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</si>
  <si>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</si>
  <si>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</si>
  <si>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</si>
  <si>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</si>
  <si>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</si>
  <si>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</si>
  <si>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</si>
  <si>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</si>
  <si>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</si>
  <si>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</si>
  <si>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</si>
  <si>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</si>
  <si>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</si>
  <si>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</si>
  <si>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</si>
  <si>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</si>
  <si>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</si>
  <si>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</si>
  <si>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</si>
  <si>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</si>
  <si>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</si>
  <si>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</si>
  <si>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</si>
  <si>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</si>
  <si>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</si>
  <si>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</si>
  <si>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</si>
  <si>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</si>
  <si>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</si>
  <si>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</si>
  <si>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</si>
  <si>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</si>
  <si>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</si>
  <si>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</si>
  <si>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</si>
  <si>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</si>
  <si>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</si>
  <si>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</si>
  <si>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</si>
  <si>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</si>
  <si>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</si>
  <si>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</si>
  <si>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</si>
  <si>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</si>
  <si>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</si>
  <si>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</si>
  <si>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</si>
  <si>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</si>
  <si>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</si>
  <si>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</si>
  <si>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</si>
  <si>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</si>
  <si>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</si>
  <si>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</si>
  <si>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</si>
  <si>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</si>
  <si>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</si>
  <si>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</si>
  <si>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</si>
  <si>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</si>
  <si>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</si>
  <si>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</si>
  <si>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</si>
  <si>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</si>
  <si>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</si>
  <si>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</si>
  <si>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</si>
  <si>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</si>
  <si>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</si>
  <si>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</si>
  <si>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</si>
  <si>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</si>
  <si>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</si>
  <si>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</si>
  <si>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</si>
  <si>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</si>
  <si>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</si>
  <si>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</si>
  <si>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</si>
  <si>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</si>
  <si>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</si>
  <si>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</si>
  <si>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</si>
  <si>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</si>
  <si>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</si>
  <si>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</si>
  <si>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</si>
  <si>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</si>
  <si>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</si>
  <si>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</si>
  <si>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</si>
  <si>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</si>
  <si>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</si>
  <si>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</si>
  <si>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</si>
  <si>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</si>
  <si>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</si>
  <si>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</si>
  <si>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</si>
  <si>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</si>
  <si>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</si>
  <si>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</si>
  <si>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</si>
  <si>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</si>
  <si>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</si>
  <si>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</si>
  <si>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</si>
  <si>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</si>
  <si>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</si>
  <si>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</si>
  <si>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</si>
  <si>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</si>
  <si>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</si>
  <si>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</si>
  <si>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</si>
  <si>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</si>
  <si>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</si>
  <si>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</si>
  <si>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</si>
  <si>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</si>
  <si>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</si>
  <si>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</si>
  <si>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</si>
  <si>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</si>
  <si>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</si>
  <si>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</si>
  <si>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</si>
  <si>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</si>
  <si>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</si>
  <si>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</si>
  <si>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</si>
  <si>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</si>
  <si>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</si>
  <si>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</si>
  <si>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</si>
  <si>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</si>
  <si>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</si>
  <si>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</si>
  <si>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</si>
  <si>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</si>
  <si>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</si>
  <si>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</si>
  <si>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</si>
  <si>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</si>
  <si>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</si>
  <si>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</si>
  <si>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</si>
  <si>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</si>
  <si>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</si>
  <si>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</si>
  <si>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</si>
  <si>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</si>
  <si>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</si>
  <si>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</si>
  <si>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</si>
  <si>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</si>
  <si>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</si>
  <si>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</si>
  <si>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</si>
  <si>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</si>
  <si>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</si>
  <si>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</si>
  <si>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</si>
  <si>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</si>
  <si>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</si>
  <si>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</si>
  <si>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</si>
  <si>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</si>
  <si>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</si>
  <si>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</si>
  <si>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</si>
  <si>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</si>
  <si>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</si>
  <si>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</si>
  <si>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</si>
  <si>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</si>
  <si>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</si>
  <si>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</si>
  <si>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</si>
  <si>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</si>
  <si>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</si>
  <si>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</si>
  <si>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</si>
  <si>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RESERVED</t>
  </si>
  <si>
    <t>WRITES_CONF</t>
  </si>
  <si>
    <t>DBG</t>
  </si>
  <si>
    <t>Configuration writes</t>
  </si>
  <si>
    <t>writes</t>
  </si>
  <si>
    <t>Number of writes into internal configuration flash memory (size 4kB, entry 128 B, total endurance 10000 * 4096 / 128 = 320000)</t>
  </si>
  <si>
    <t>MODE</t>
  </si>
  <si>
    <t>Calibration mode</t>
  </si>
  <si>
    <t>Debug information</t>
  </si>
  <si>
    <t>BM</t>
  </si>
  <si>
    <t>BABY_MONITOR</t>
  </si>
  <si>
    <t>Baby monitor input/output</t>
  </si>
  <si>
    <t>MUX</t>
  </si>
  <si>
    <t>D:\work\gitlab\fw-bm03-tester\Documents\txts\Bm03Tester_Define.txt</t>
  </si>
  <si>
    <t>D:\work\gitlab\fw-bm03-tester\Documents\txts\Bm03Tester_Storage.txt</t>
  </si>
  <si>
    <t>D:\work\gitlab\fw-bm03-tester\Documents\txts\Bm03Tester_Factory.txt</t>
  </si>
  <si>
    <t>D:\work\gitlab\fw-bm03-tester\Documents\txts\reg_map.c</t>
  </si>
  <si>
    <t>D:\work\gitlab\fw-bm03-tester\Documents\txts\Bm03Tester_registers.json</t>
  </si>
  <si>
    <t>D:\work\gitlab\fw-bm03-tester\Documents\txts\Bm03TesterRegs.py</t>
  </si>
  <si>
    <t>D:\work\gitlab\fw-bm03-tester\Documents\txts\Bm03Tester_Modbus.json</t>
  </si>
  <si>
    <t>Error code</t>
  </si>
  <si>
    <t>Set calibration resistance values to all channels.
Value 0 - calibration disabled</t>
  </si>
  <si>
    <t>D:\work\gitlab\fw-bm03-tester\Documents\txts\Bm03Tester_Registers.json</t>
  </si>
  <si>
    <t>MUX_DEFAULT</t>
  </si>
  <si>
    <t>Multiplexer select</t>
  </si>
  <si>
    <t>Default multiplexer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</si>
</sst>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7">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23"/>
  <sheetViews>
    <sheetView tabSelected="1" topLeftCell="B1" zoomScaleNormal="100" workbookViewId="0">
      <selection activeCell="N13" sqref="N13"/>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211</v>
      </c>
      <c r="T3" s="31"/>
    </row>
    <row r="4" spans="1:26" ht="24.95" customHeight="1" x14ac:dyDescent="0.25">
      <c r="D4" s="31" t="s">
        <v>18</v>
      </c>
      <c r="E4" s="31"/>
      <c r="F4" s="31" t="s">
        <v>113</v>
      </c>
      <c r="J4" s="3" t="s">
        <v>1</v>
      </c>
      <c r="K4" s="9" t="s">
        <v>5</v>
      </c>
      <c r="L4" s="8" t="s">
        <v>208</v>
      </c>
      <c r="M4" s="11"/>
      <c r="U4" s="12" t="s">
        <v>1</v>
      </c>
      <c r="Z4" s="10"/>
    </row>
    <row r="5" spans="1:26" ht="24.95" customHeight="1" x14ac:dyDescent="0.25">
      <c r="D5" s="31" t="s">
        <v>19</v>
      </c>
      <c r="E5" s="31"/>
      <c r="F5" s="31" t="s">
        <v>20</v>
      </c>
      <c r="J5" s="3" t="s">
        <v>1</v>
      </c>
      <c r="K5" s="9" t="s">
        <v>100</v>
      </c>
      <c r="L5" s="8" t="s">
        <v>217</v>
      </c>
      <c r="M5" s="11"/>
      <c r="U5" s="12" t="s">
        <v>1</v>
      </c>
      <c r="Z5" s="10"/>
    </row>
    <row r="6" spans="1:26" ht="24.95" customHeight="1" x14ac:dyDescent="0.25">
      <c r="D6" s="31" t="s">
        <v>63</v>
      </c>
      <c r="E6" s="13"/>
      <c r="F6" s="32">
        <v>1</v>
      </c>
      <c r="J6" s="3" t="s">
        <v>1</v>
      </c>
      <c r="K6" s="9" t="s">
        <v>17</v>
      </c>
      <c r="L6" s="8" t="s">
        <v>209</v>
      </c>
      <c r="M6" s="11"/>
      <c r="U6" s="12" t="s">
        <v>1</v>
      </c>
      <c r="Z6" s="10"/>
    </row>
    <row r="7" spans="1:26" ht="24.95" customHeight="1" x14ac:dyDescent="0.25">
      <c r="D7" s="31" t="s">
        <v>143</v>
      </c>
      <c r="E7" s="13"/>
      <c r="F7" s="31" t="str">
        <f>GetWorkName()</f>
        <v>Bm03Tester</v>
      </c>
      <c r="J7" s="3" t="s">
        <v>1</v>
      </c>
      <c r="K7" s="9" t="s">
        <v>21</v>
      </c>
      <c r="L7" s="8" t="s">
        <v>210</v>
      </c>
      <c r="M7" s="11"/>
      <c r="U7" s="12" t="s">
        <v>1</v>
      </c>
      <c r="Z7" s="10"/>
    </row>
    <row r="8" spans="1:26" ht="24.95" customHeight="1" x14ac:dyDescent="0.25">
      <c r="D8" s="31" t="s">
        <v>117</v>
      </c>
      <c r="E8" s="13"/>
      <c r="F8" s="31" t="str">
        <f>GetPath()&amp;"\..\Firmware\bm03_tester_app\Core\Common\"</f>
        <v>D:\work\gitlab\fw-bm03-tester\Documents\..\Firmware\bm03_tester_app\Core\Common\</v>
      </c>
      <c r="J8" s="3" t="s">
        <v>1</v>
      </c>
      <c r="K8" s="9" t="s">
        <v>145</v>
      </c>
      <c r="L8" s="8" t="s">
        <v>214</v>
      </c>
      <c r="M8" s="11"/>
      <c r="U8" s="12" t="s">
        <v>1</v>
      </c>
      <c r="Z8" s="10"/>
    </row>
    <row r="9" spans="1:26" ht="24.95" customHeight="1" x14ac:dyDescent="0.25">
      <c r="D9" s="31" t="s">
        <v>148</v>
      </c>
      <c r="E9" s="13"/>
      <c r="F9" s="31"/>
      <c r="J9" s="3"/>
      <c r="K9" s="9" t="s">
        <v>1</v>
      </c>
      <c r="L9" s="8" t="s">
        <v>213</v>
      </c>
      <c r="M9" s="11"/>
      <c r="Z9" s="10"/>
    </row>
    <row r="10" spans="1:26" ht="24.95" customHeight="1" x14ac:dyDescent="0.25">
      <c r="D10" s="31" t="s">
        <v>153</v>
      </c>
      <c r="E10" s="13"/>
      <c r="F10" s="31" t="str">
        <f>GetPath()&amp;"\..\Tests\bm03_tester\"</f>
        <v>D:\work\gitlab\fw-bm03-tester\Documents\..\Tests\bm03_tester\</v>
      </c>
      <c r="K10" s="9" t="s">
        <v>154</v>
      </c>
      <c r="L10" s="8" t="s">
        <v>212</v>
      </c>
      <c r="M10" s="11"/>
    </row>
    <row r="11" spans="1:26" ht="24.75" customHeight="1" x14ac:dyDescent="0.25">
      <c r="D11" s="31" t="s">
        <v>155</v>
      </c>
      <c r="F11" s="31"/>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54"/>
      <c r="B16" s="54"/>
      <c r="C16" s="53"/>
      <c r="D16" s="43" t="s">
        <v>8</v>
      </c>
      <c r="E16" s="56" t="s">
        <v>33</v>
      </c>
      <c r="F16" s="45" t="s">
        <v>10</v>
      </c>
      <c r="G16" s="45" t="s">
        <v>39</v>
      </c>
      <c r="H16" s="45" t="s">
        <v>11</v>
      </c>
      <c r="I16" s="43" t="s">
        <v>0</v>
      </c>
      <c r="J16" s="45" t="s">
        <v>13</v>
      </c>
      <c r="K16" s="43" t="s">
        <v>16</v>
      </c>
      <c r="L16" s="43" t="s">
        <v>2</v>
      </c>
      <c r="M16" s="50" t="s">
        <v>134</v>
      </c>
      <c r="N16" s="45" t="s">
        <v>14</v>
      </c>
      <c r="O16" s="47" t="s">
        <v>118</v>
      </c>
      <c r="P16" s="47" t="s">
        <v>119</v>
      </c>
      <c r="Q16" s="47" t="s">
        <v>123</v>
      </c>
      <c r="R16" s="47" t="s">
        <v>149</v>
      </c>
      <c r="S16" s="49" t="s">
        <v>101</v>
      </c>
      <c r="T16" s="41" t="s">
        <v>4</v>
      </c>
    </row>
    <row r="17" spans="1:20" ht="15" customHeight="1" x14ac:dyDescent="0.25">
      <c r="A17" s="55"/>
      <c r="B17" s="55"/>
      <c r="C17" s="53"/>
      <c r="D17" s="44"/>
      <c r="E17" s="42"/>
      <c r="F17" s="46"/>
      <c r="G17" s="46"/>
      <c r="H17" s="46"/>
      <c r="I17" s="44"/>
      <c r="J17" s="46"/>
      <c r="K17" s="44"/>
      <c r="L17" s="44"/>
      <c r="M17" s="51"/>
      <c r="N17" s="44"/>
      <c r="O17" s="48"/>
      <c r="P17" s="48"/>
      <c r="Q17" s="52"/>
      <c r="R17" s="52"/>
      <c r="S17" s="48"/>
      <c r="T17" s="42"/>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30"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188</v>
      </c>
      <c r="M24" t="s">
        <v>189</v>
      </c>
      <c r="N24" s="29"/>
      <c r="O24" s="29"/>
      <c r="P24" s="29"/>
      <c r="Q24" s="29"/>
      <c r="R24" s="29"/>
      <c r="T24" t="s">
        <v>190</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191</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192</v>
      </c>
      <c r="N29" s="29"/>
      <c r="O29" s="29">
        <v>0</v>
      </c>
      <c r="P29" s="3" t="s">
        <v>193</v>
      </c>
      <c r="Q29" s="29"/>
      <c r="R29" s="29"/>
      <c r="T29" t="s">
        <v>194</v>
      </c>
    </row>
    <row r="30" spans="1:20" x14ac:dyDescent="0.25">
      <c r="A30" s="34"/>
      <c r="D30" s="14"/>
      <c r="E30" s="2" t="s">
        <v>41</v>
      </c>
      <c r="F30" s="3" t="s">
        <v>32</v>
      </c>
      <c r="G30" s="5" t="s">
        <v>48</v>
      </c>
      <c r="H30" s="18" t="s">
        <v>50</v>
      </c>
      <c r="I30" s="14">
        <f t="shared" si="0"/>
        <v>22</v>
      </c>
      <c r="J30" s="29">
        <v>2</v>
      </c>
      <c r="K30" s="10" t="str">
        <f xml:space="preserve"> IFERROR("0x" &amp; DEC2HEX(VLOOKUP(F30,Common!$C$10:$D$34,2,FALSE),2) &amp; DEC2HEX(I30,3) &amp; DEC2HEX(VLOOKUP(G30,Common!$C$51:$D$55,2,FALSE),1) &amp; DEC2HEX(1+2*VLOOKUP(H30,Common!$C$69:$D$72,2,FALSE),1) &amp; DEC2HEX(IFERROR(LOG(J30,2),0),1),0)</f>
        <v>0x00016151</v>
      </c>
      <c r="L30" s="29" t="str">
        <f>IF(AND(LEN(E30)&lt;&gt;0,S30=""),F30&amp;"_"&amp;UPPER(E30),"")</f>
        <v>SYS_ERROR</v>
      </c>
      <c r="M30" s="2" t="s">
        <v>215</v>
      </c>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0"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0"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0"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0"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0" x14ac:dyDescent="0.25">
      <c r="D37" s="14"/>
      <c r="E37" s="11"/>
      <c r="F37" s="14"/>
      <c r="G37" s="5"/>
      <c r="H37" s="18"/>
      <c r="I37" s="14"/>
      <c r="J37" s="14"/>
      <c r="K37" s="10"/>
      <c r="M37"/>
      <c r="O37" s="3"/>
      <c r="P37" s="3"/>
      <c r="R37" s="29"/>
      <c r="T37"/>
    </row>
    <row r="38" spans="1:20"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0"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0"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0"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0" x14ac:dyDescent="0.25">
      <c r="D42" s="15"/>
      <c r="E42" s="2"/>
      <c r="F42" s="5"/>
      <c r="G42" s="5"/>
      <c r="H42" s="18"/>
      <c r="I42" s="14"/>
      <c r="J42" s="14"/>
      <c r="K42" s="10"/>
      <c r="L42" s="3"/>
      <c r="M42"/>
      <c r="R42" s="29"/>
      <c r="T42"/>
    </row>
    <row r="44" spans="1:20" s="34" customFormat="1" x14ac:dyDescent="0.25">
      <c r="D44" s="40"/>
      <c r="F44" s="29"/>
      <c r="G44" s="29"/>
      <c r="H44" s="29"/>
      <c r="I44" s="29"/>
      <c r="J44" s="29"/>
      <c r="K44" s="10"/>
      <c r="L44" s="29"/>
      <c r="N44" s="29"/>
      <c r="O44" s="29"/>
      <c r="P44" s="29"/>
      <c r="Q44" s="29"/>
      <c r="R44" s="29"/>
      <c r="S44" s="29"/>
      <c r="T44"/>
    </row>
    <row r="45" spans="1:20" s="34" customFormat="1" x14ac:dyDescent="0.25">
      <c r="D45" s="40"/>
      <c r="E45" s="2" t="s">
        <v>201</v>
      </c>
      <c r="F45" s="3" t="s">
        <v>182</v>
      </c>
      <c r="G45" s="5" t="s">
        <v>48</v>
      </c>
      <c r="H45" s="18" t="s">
        <v>50</v>
      </c>
      <c r="I45" s="33">
        <v>0</v>
      </c>
      <c r="J45" s="29">
        <v>2</v>
      </c>
      <c r="K45" s="10" t="str">
        <f xml:space="preserve"> IFERROR("0x" &amp; DEC2HEX(VLOOKUP(F45,Common!$C$10:$D$34,2,FALSE),2) &amp; DEC2HEX(I45,3) &amp; DEC2HEX(VLOOKUP(G45,Common!$C$51:$D$55,2,FALSE),1) &amp; DEC2HEX(1+2*VLOOKUP(H45,Common!$C$69:$D$72,2,FALSE),1) &amp; DEC2HEX(IFERROR(LOG(J45,2),0),1),0)</f>
        <v>0x04000151</v>
      </c>
      <c r="L45" s="29" t="str">
        <f>IF(AND(LEN(E45)&lt;&gt;0,S45=""),F45&amp;"_"&amp;UPPER(E45),"")</f>
        <v>CALIB_MODE</v>
      </c>
      <c r="M45" t="s">
        <v>202</v>
      </c>
      <c r="N45" s="29">
        <v>0</v>
      </c>
      <c r="O45" s="29">
        <v>0</v>
      </c>
      <c r="P45" s="29">
        <v>24</v>
      </c>
      <c r="Q45" s="29"/>
      <c r="R45" s="29"/>
      <c r="S45" s="3"/>
      <c r="T45" t="s">
        <v>216</v>
      </c>
    </row>
    <row r="46" spans="1:20" s="34" customFormat="1" x14ac:dyDescent="0.25">
      <c r="D46" s="40"/>
      <c r="E46" s="2" t="s">
        <v>195</v>
      </c>
      <c r="F46" s="3" t="s">
        <v>182</v>
      </c>
      <c r="G46" s="5" t="s">
        <v>48</v>
      </c>
      <c r="H46" s="18" t="s">
        <v>50</v>
      </c>
      <c r="I46" s="33">
        <f xml:space="preserve"> I45+J45</f>
        <v>2</v>
      </c>
      <c r="J46" s="29">
        <v>2</v>
      </c>
      <c r="K46" s="10" t="str">
        <f xml:space="preserve"> IFERROR("0x" &amp; DEC2HEX(VLOOKUP(F46,Common!$C$10:$D$34,2,FALSE),2) &amp; DEC2HEX(I46,3) &amp; DEC2HEX(VLOOKUP(G46,Common!$C$51:$D$55,2,FALSE),1) &amp; DEC2HEX(1+2*VLOOKUP(H46,Common!$C$69:$D$72,2,FALSE),1) &amp; DEC2HEX(IFERROR(LOG(J46,2),0),1),0)</f>
        <v>0x04002151</v>
      </c>
      <c r="L46" s="29" t="str">
        <f t="shared" ref="L46" si="2">IF(AND(LEN(E46)&lt;&gt;0,S46=""),F46&amp;"_"&amp;UPPER(E46),"")</f>
        <v>CALIB_RESERVED</v>
      </c>
      <c r="M46" t="s">
        <v>89</v>
      </c>
      <c r="N46" s="29"/>
      <c r="O46" s="29"/>
      <c r="P46" s="29"/>
      <c r="Q46" s="29"/>
      <c r="R46" s="29"/>
      <c r="S46" s="3"/>
      <c r="T46" t="s">
        <v>52</v>
      </c>
    </row>
    <row r="47" spans="1:20" s="34" customFormat="1" x14ac:dyDescent="0.25">
      <c r="D47" s="40"/>
      <c r="E47"/>
      <c r="F47" s="3"/>
      <c r="G47" s="3"/>
      <c r="H47" s="3"/>
      <c r="I47" s="33"/>
      <c r="J47" s="3"/>
      <c r="K47" s="10"/>
      <c r="L47" s="29"/>
      <c r="M47"/>
      <c r="N47" s="29"/>
      <c r="O47" s="29"/>
      <c r="P47" s="29"/>
      <c r="Q47" s="3"/>
      <c r="R47" s="3"/>
      <c r="T47"/>
    </row>
    <row r="48" spans="1:20" s="34" customFormat="1" x14ac:dyDescent="0.25">
      <c r="D48" s="40"/>
      <c r="E48"/>
      <c r="F48" s="3"/>
      <c r="G48" s="3"/>
      <c r="H48" s="3"/>
      <c r="I48" s="33"/>
      <c r="J48" s="3"/>
      <c r="K48" s="10"/>
      <c r="L48" s="29"/>
      <c r="M48"/>
      <c r="N48" s="29"/>
      <c r="O48" s="29"/>
      <c r="P48" s="29"/>
      <c r="Q48" s="3"/>
      <c r="R48" s="3"/>
      <c r="T48"/>
    </row>
    <row r="49" spans="1:35" s="10" customFormat="1" x14ac:dyDescent="0.25">
      <c r="A49" s="12"/>
      <c r="B49" s="12"/>
      <c r="C49" s="12"/>
      <c r="D49"/>
      <c r="E49" s="24"/>
      <c r="F49" s="23"/>
      <c r="G49" s="23"/>
      <c r="H49" s="26"/>
      <c r="I49" s="22"/>
      <c r="J49" s="22"/>
      <c r="L49" s="22"/>
      <c r="M49" s="21"/>
      <c r="N49" s="22"/>
      <c r="O49" s="22"/>
      <c r="P49" s="22"/>
      <c r="Q49" s="22"/>
      <c r="R49" s="28"/>
      <c r="S49" s="22"/>
      <c r="T49" s="21"/>
      <c r="U49"/>
      <c r="V49"/>
      <c r="W49"/>
      <c r="X49"/>
      <c r="Y49"/>
      <c r="Z49" s="12"/>
      <c r="AA49" s="12"/>
      <c r="AB49" s="12"/>
      <c r="AC49" s="12"/>
      <c r="AD49" s="12"/>
      <c r="AE49" s="12"/>
      <c r="AF49" s="12"/>
      <c r="AG49" s="12"/>
      <c r="AH49" s="12"/>
      <c r="AI49" s="12"/>
    </row>
    <row r="50" spans="1:35" s="34" customFormat="1" x14ac:dyDescent="0.25">
      <c r="D50" s="40"/>
      <c r="E50" t="s">
        <v>207</v>
      </c>
      <c r="F50" s="3" t="s">
        <v>204</v>
      </c>
      <c r="G50" s="3" t="s">
        <v>48</v>
      </c>
      <c r="H50" s="3" t="s">
        <v>50</v>
      </c>
      <c r="I50" s="33">
        <f xml:space="preserve"> I49+J49</f>
        <v>0</v>
      </c>
      <c r="J50" s="29">
        <v>1</v>
      </c>
      <c r="K50" s="10" t="str">
        <f xml:space="preserve"> IFERROR("0x" &amp; DEC2HEX(VLOOKUP(F50,Common!$C$10:$D$34,2,FALSE),2) &amp; DEC2HEX(I50,3) &amp; DEC2HEX(VLOOKUP(G50,Common!$C$51:$D$55,2,FALSE),1) &amp; DEC2HEX(1+2*VLOOKUP(H50,Common!$C$69:$D$72,2,FALSE),1) &amp; DEC2HEX(IFERROR(LOG(J50,2),0),1),0)</f>
        <v>0x05000150</v>
      </c>
      <c r="L50" s="29" t="str">
        <f t="shared" ref="L50:L51" si="3">IF(AND(LEN(E50)&lt;&gt;0,S50=""),F50&amp;"_"&amp;UPPER(E50),"")</f>
        <v>BM_MUX</v>
      </c>
      <c r="M50" t="s">
        <v>219</v>
      </c>
      <c r="N50" s="29">
        <v>0</v>
      </c>
      <c r="O50" s="29">
        <v>0</v>
      </c>
      <c r="P50" s="29">
        <v>8</v>
      </c>
      <c r="Q50" s="29"/>
      <c r="R50" s="3"/>
      <c r="T50"/>
    </row>
    <row r="51" spans="1:35" s="34" customFormat="1" x14ac:dyDescent="0.25">
      <c r="D51" s="40"/>
      <c r="E51" t="s">
        <v>218</v>
      </c>
      <c r="F51" s="3" t="s">
        <v>204</v>
      </c>
      <c r="G51" s="3" t="s">
        <v>48</v>
      </c>
      <c r="H51" s="3" t="s">
        <v>47</v>
      </c>
      <c r="I51" s="33">
        <f xml:space="preserve"> I50+J50</f>
        <v>1</v>
      </c>
      <c r="J51" s="29">
        <v>1</v>
      </c>
      <c r="K51" s="10" t="str">
        <f xml:space="preserve"> IFERROR("0x" &amp; DEC2HEX(VLOOKUP(F51,Common!$C$10:$D$34,2,FALSE),2) &amp; DEC2HEX(I51,3) &amp; DEC2HEX(VLOOKUP(G51,Common!$C$51:$D$55,2,FALSE),1) &amp; DEC2HEX(1+2*VLOOKUP(H51,Common!$C$69:$D$72,2,FALSE),1) &amp; DEC2HEX(IFERROR(LOG(J51,2),0),1),0)</f>
        <v>0x05001170</v>
      </c>
      <c r="L51" s="29" t="str">
        <f t="shared" si="3"/>
        <v>BM_MUX_DEFAULT</v>
      </c>
      <c r="M51" t="s">
        <v>220</v>
      </c>
      <c r="N51" s="29">
        <v>0</v>
      </c>
      <c r="O51" s="29">
        <v>0</v>
      </c>
      <c r="P51" s="29">
        <v>8</v>
      </c>
      <c r="Q51" s="29"/>
      <c r="R51" s="3"/>
      <c r="T51"/>
    </row>
    <row r="52" spans="1:35" s="34" customFormat="1" x14ac:dyDescent="0.25">
      <c r="D52" s="40"/>
      <c r="E52"/>
      <c r="F52" s="3"/>
      <c r="G52" s="3"/>
      <c r="H52" s="3"/>
      <c r="I52" s="33"/>
      <c r="J52" s="29"/>
      <c r="K52" s="10"/>
      <c r="L52" s="3"/>
      <c r="M52"/>
      <c r="N52" s="29"/>
      <c r="O52" s="29"/>
      <c r="P52" s="29"/>
      <c r="Q52" s="29"/>
      <c r="R52" s="29"/>
      <c r="T52"/>
    </row>
    <row r="53" spans="1:35" s="34" customFormat="1" x14ac:dyDescent="0.25">
      <c r="D53" s="40"/>
      <c r="E53"/>
      <c r="F53" s="3"/>
      <c r="G53" s="3"/>
      <c r="H53" s="3"/>
      <c r="I53" s="33"/>
      <c r="J53" s="29"/>
      <c r="K53" s="10"/>
      <c r="L53" s="3"/>
      <c r="M53"/>
      <c r="N53" s="29"/>
      <c r="O53" s="29"/>
      <c r="P53" s="29"/>
      <c r="Q53" s="29"/>
      <c r="R53" s="29"/>
      <c r="T53"/>
    </row>
    <row r="54" spans="1:35" s="34" customFormat="1" x14ac:dyDescent="0.25">
      <c r="D54" s="40"/>
      <c r="E54"/>
      <c r="F54" s="3"/>
      <c r="G54" s="3"/>
      <c r="H54" s="3"/>
      <c r="I54" s="33"/>
      <c r="J54" s="29"/>
      <c r="K54" s="10"/>
      <c r="L54" s="3"/>
      <c r="M54"/>
      <c r="N54" s="29"/>
      <c r="O54" s="29"/>
      <c r="P54" s="29"/>
      <c r="Q54" s="29"/>
      <c r="R54" s="29"/>
      <c r="T54"/>
    </row>
    <row r="55" spans="1:35" s="34" customFormat="1" x14ac:dyDescent="0.25">
      <c r="D55" s="40"/>
      <c r="E55"/>
      <c r="F55" s="3"/>
      <c r="G55" s="3"/>
      <c r="H55" s="3"/>
      <c r="I55" s="33"/>
      <c r="J55" s="29"/>
      <c r="K55" s="10"/>
      <c r="L55" s="29"/>
      <c r="M55"/>
      <c r="N55" s="29"/>
      <c r="O55" s="29"/>
      <c r="P55" s="29"/>
      <c r="Q55" s="29"/>
      <c r="R55" s="3"/>
      <c r="T55"/>
    </row>
    <row r="56" spans="1:35" s="34" customFormat="1" x14ac:dyDescent="0.25">
      <c r="D56" s="40"/>
      <c r="E56"/>
      <c r="F56" s="3"/>
      <c r="G56" s="3"/>
      <c r="H56" s="3"/>
      <c r="I56" s="33"/>
      <c r="J56" s="29"/>
      <c r="K56" s="10"/>
      <c r="L56" s="29"/>
      <c r="N56" s="29"/>
      <c r="O56" s="29"/>
      <c r="P56" s="29"/>
      <c r="Q56" s="29"/>
      <c r="R56" s="29"/>
      <c r="S56" s="29"/>
      <c r="T56"/>
    </row>
    <row r="57" spans="1:35" s="34" customFormat="1" x14ac:dyDescent="0.25">
      <c r="D57" s="40"/>
      <c r="E57"/>
      <c r="F57" s="3"/>
      <c r="G57" s="3"/>
      <c r="H57" s="3"/>
      <c r="I57" s="33"/>
      <c r="J57" s="29"/>
      <c r="K57" s="10"/>
      <c r="L57" s="29"/>
      <c r="M57"/>
      <c r="N57" s="29"/>
      <c r="O57" s="29"/>
      <c r="P57" s="29"/>
      <c r="Q57" s="3"/>
      <c r="R57" s="29"/>
      <c r="S57" s="29"/>
      <c r="T57"/>
    </row>
    <row r="58" spans="1:35" s="34" customFormat="1" x14ac:dyDescent="0.25">
      <c r="D58" s="40"/>
      <c r="E58"/>
      <c r="F58" s="3"/>
      <c r="G58" s="3"/>
      <c r="H58" s="3"/>
      <c r="I58" s="33"/>
      <c r="J58" s="29"/>
      <c r="K58" s="10"/>
      <c r="L58" s="29"/>
      <c r="M58"/>
      <c r="N58" s="29"/>
      <c r="O58" s="29"/>
      <c r="P58" s="29"/>
      <c r="Q58" s="3"/>
      <c r="R58" s="29"/>
      <c r="T58"/>
    </row>
    <row r="59" spans="1:35" s="34" customFormat="1" x14ac:dyDescent="0.25">
      <c r="D59" s="40"/>
      <c r="E59"/>
      <c r="F59" s="3"/>
      <c r="G59" s="3"/>
      <c r="H59" s="3"/>
      <c r="I59" s="33"/>
      <c r="J59" s="29"/>
      <c r="K59" s="10"/>
      <c r="L59" s="29"/>
      <c r="M59"/>
      <c r="N59" s="29"/>
      <c r="O59" s="3"/>
      <c r="P59" s="29"/>
      <c r="Q59" s="3"/>
      <c r="R59" s="3"/>
      <c r="T59"/>
    </row>
    <row r="60" spans="1:35" s="34" customFormat="1" x14ac:dyDescent="0.25">
      <c r="D60" s="40"/>
      <c r="E60"/>
      <c r="F60" s="3"/>
      <c r="G60" s="3"/>
      <c r="H60" s="3"/>
      <c r="I60" s="33"/>
      <c r="K60" s="10"/>
      <c r="L60" s="29"/>
      <c r="M60"/>
      <c r="N60" s="29"/>
      <c r="O60" s="3"/>
      <c r="P60" s="29"/>
      <c r="Q60" s="3"/>
      <c r="R60" s="3"/>
      <c r="T60"/>
    </row>
    <row r="61" spans="1:35" s="10" customFormat="1" x14ac:dyDescent="0.25">
      <c r="A61" s="12"/>
      <c r="B61" s="12"/>
      <c r="C61" s="12"/>
      <c r="D61"/>
      <c r="E61"/>
      <c r="F61" s="3"/>
      <c r="G61" s="3"/>
      <c r="H61" s="3"/>
      <c r="I61" s="33"/>
      <c r="J61" s="3"/>
      <c r="K61" s="3"/>
      <c r="L61" s="29"/>
      <c r="M61"/>
      <c r="N61" s="29"/>
      <c r="O61" s="3"/>
      <c r="P61" s="3"/>
      <c r="Q61" s="3"/>
      <c r="R61" s="3"/>
      <c r="S61" s="34"/>
      <c r="T61"/>
      <c r="U61"/>
      <c r="V61"/>
      <c r="W61"/>
      <c r="X61"/>
      <c r="Y61"/>
      <c r="Z61" s="12"/>
      <c r="AA61" s="12"/>
      <c r="AB61" s="12"/>
      <c r="AC61" s="12"/>
      <c r="AD61" s="12"/>
      <c r="AE61" s="12"/>
      <c r="AF61" s="12"/>
      <c r="AG61" s="12"/>
      <c r="AH61" s="12"/>
      <c r="AI61" s="12"/>
    </row>
    <row r="62" spans="1:35" s="10" customFormat="1" x14ac:dyDescent="0.25">
      <c r="A62" s="12"/>
      <c r="B62" s="12"/>
      <c r="C62" s="12"/>
      <c r="D62"/>
      <c r="E62" s="24"/>
      <c r="F62" s="23"/>
      <c r="G62" s="23"/>
      <c r="H62" s="26"/>
      <c r="I62" s="22"/>
      <c r="J62" s="22"/>
      <c r="K62" s="22"/>
      <c r="L62" s="22"/>
      <c r="M62" s="21"/>
      <c r="N62" s="22"/>
      <c r="O62" s="22"/>
      <c r="P62" s="22"/>
      <c r="Q62" s="23"/>
      <c r="R62" s="23"/>
      <c r="S62" s="22"/>
      <c r="T62" s="21"/>
      <c r="U62"/>
      <c r="V62"/>
      <c r="W62"/>
      <c r="X62"/>
      <c r="Y62"/>
      <c r="Z62" s="12"/>
      <c r="AA62" s="12"/>
      <c r="AB62" s="12"/>
      <c r="AC62" s="12"/>
      <c r="AD62" s="12"/>
      <c r="AE62" s="12"/>
      <c r="AF62" s="12"/>
      <c r="AG62" s="12"/>
      <c r="AH62" s="12"/>
      <c r="AI62" s="12"/>
    </row>
    <row r="63" spans="1:35" s="34" customFormat="1" x14ac:dyDescent="0.25">
      <c r="D63" s="40"/>
      <c r="E63" s="2" t="s">
        <v>196</v>
      </c>
      <c r="F63" s="3" t="s">
        <v>197</v>
      </c>
      <c r="G63" s="3" t="s">
        <v>48</v>
      </c>
      <c r="H63" s="3" t="s">
        <v>45</v>
      </c>
      <c r="I63" s="29">
        <v>0</v>
      </c>
      <c r="J63" s="29">
        <v>4</v>
      </c>
      <c r="K63" s="10" t="str">
        <f xml:space="preserve"> IFERROR("0x" &amp; DEC2HEX(VLOOKUP(F63,Common!$C$10:$D$34,2,FALSE),2) &amp; DEC2HEX(I63,3) &amp; DEC2HEX(VLOOKUP(G63,Common!$C$51:$D$55,2,FALSE),1) &amp; DEC2HEX(1+2*VLOOKUP(H63,Common!$C$69:$D$72,2,FALSE),1) &amp; DEC2HEX(IFERROR(LOG(J63,2),0),1),0)</f>
        <v>0x06000112</v>
      </c>
      <c r="L63" s="29" t="str">
        <f>IF(AND(LEN(E63)&lt;&gt;0,S63=""),F63&amp;"_"&amp;UPPER(E63),"")</f>
        <v>DBG_WRITES_CONF</v>
      </c>
      <c r="M63" t="s">
        <v>198</v>
      </c>
      <c r="N63" s="29"/>
      <c r="O63" s="29">
        <v>0</v>
      </c>
      <c r="P63" s="29">
        <v>1000000</v>
      </c>
      <c r="Q63" s="3" t="s">
        <v>199</v>
      </c>
      <c r="R63" s="29"/>
      <c r="S63" s="29"/>
      <c r="T63" t="s">
        <v>200</v>
      </c>
    </row>
    <row r="64" spans="1:35" s="10" customFormat="1" x14ac:dyDescent="0.25">
      <c r="A64" s="12"/>
      <c r="B64" s="12"/>
      <c r="C64" s="12"/>
      <c r="D64"/>
      <c r="E64" s="24"/>
      <c r="F64" s="23"/>
      <c r="G64" s="23"/>
      <c r="H64" s="26"/>
      <c r="I64" s="22"/>
      <c r="J64" s="22"/>
      <c r="K64" s="22"/>
      <c r="L64" s="22"/>
      <c r="M64" s="21"/>
      <c r="N64" s="22"/>
      <c r="O64" s="22"/>
      <c r="P64" s="22"/>
      <c r="Q64" s="23"/>
      <c r="R64" s="23"/>
      <c r="S64" s="22"/>
      <c r="T64" s="21"/>
      <c r="U64"/>
      <c r="V64"/>
      <c r="W64"/>
      <c r="X64"/>
      <c r="Y64"/>
      <c r="Z64" s="12"/>
      <c r="AA64" s="12"/>
      <c r="AB64" s="12"/>
      <c r="AC64" s="12"/>
      <c r="AD64" s="12"/>
      <c r="AE64" s="12"/>
      <c r="AF64" s="12"/>
      <c r="AG64" s="12"/>
      <c r="AH64" s="12"/>
      <c r="AI64" s="12"/>
    </row>
    <row r="65" spans="1:35" s="10" customFormat="1" x14ac:dyDescent="0.25">
      <c r="A65" s="12"/>
      <c r="B65" s="12"/>
      <c r="C65" s="12"/>
      <c r="D65"/>
      <c r="E65" s="24"/>
      <c r="F65" s="23"/>
      <c r="G65" s="23"/>
      <c r="H65" s="26"/>
      <c r="I65" s="22"/>
      <c r="J65" s="22"/>
      <c r="K65" s="22"/>
      <c r="L65" s="22"/>
      <c r="M65" s="21"/>
      <c r="N65" s="22"/>
      <c r="O65" s="22"/>
      <c r="P65" s="22"/>
      <c r="Q65" s="23"/>
      <c r="R65" s="23"/>
      <c r="S65" s="22"/>
      <c r="T65" s="21"/>
      <c r="U65"/>
      <c r="V65"/>
      <c r="W65"/>
      <c r="X65"/>
      <c r="Y65"/>
      <c r="Z65" s="12"/>
      <c r="AA65" s="12"/>
      <c r="AB65" s="12"/>
      <c r="AC65" s="12"/>
      <c r="AD65" s="12"/>
      <c r="AE65" s="12"/>
      <c r="AF65" s="12"/>
      <c r="AG65" s="12"/>
      <c r="AH65" s="12"/>
      <c r="AI65" s="12"/>
    </row>
    <row r="66" spans="1:35" s="10" customFormat="1" x14ac:dyDescent="0.25">
      <c r="A66" s="12"/>
      <c r="B66" s="12"/>
      <c r="C66" s="12"/>
      <c r="D66"/>
      <c r="E66" s="24"/>
      <c r="F66" s="23"/>
      <c r="G66" s="23"/>
      <c r="H66" s="26"/>
      <c r="I66" s="22"/>
      <c r="J66" s="22"/>
      <c r="K66" s="22"/>
      <c r="L66" s="22"/>
      <c r="M66" s="21"/>
      <c r="N66" s="22"/>
      <c r="O66" s="22"/>
      <c r="P66" s="22"/>
      <c r="Q66" s="23"/>
      <c r="R66" s="23"/>
      <c r="S66" s="22"/>
      <c r="T66" s="21"/>
      <c r="U66"/>
      <c r="V66"/>
      <c r="W66"/>
      <c r="X66"/>
      <c r="Y66"/>
      <c r="Z66" s="12"/>
      <c r="AA66" s="12"/>
      <c r="AB66" s="12"/>
      <c r="AC66" s="12"/>
      <c r="AD66" s="12"/>
      <c r="AE66" s="12"/>
      <c r="AF66" s="12"/>
      <c r="AG66" s="12"/>
      <c r="AH66" s="12"/>
      <c r="AI66" s="12"/>
    </row>
    <row r="67" spans="1:35" s="10" customFormat="1" x14ac:dyDescent="0.25">
      <c r="A67" s="12"/>
      <c r="B67" s="12"/>
      <c r="C67" s="12"/>
      <c r="D67"/>
      <c r="E67" s="24"/>
      <c r="F67" s="23"/>
      <c r="G67" s="23"/>
      <c r="H67" s="26"/>
      <c r="I67" s="22"/>
      <c r="J67" s="22"/>
      <c r="K67" s="22"/>
      <c r="L67" s="22"/>
      <c r="M67" s="21"/>
      <c r="N67" s="22"/>
      <c r="O67" s="22"/>
      <c r="P67" s="22"/>
      <c r="Q67" s="23"/>
      <c r="R67" s="23"/>
      <c r="S67" s="22"/>
      <c r="T67" s="21"/>
      <c r="U67"/>
      <c r="V67"/>
      <c r="W67"/>
      <c r="X67"/>
      <c r="Y67"/>
      <c r="Z67" s="12"/>
      <c r="AA67" s="12"/>
      <c r="AB67" s="12"/>
      <c r="AC67" s="12"/>
      <c r="AD67" s="12"/>
      <c r="AE67" s="12"/>
      <c r="AF67" s="12"/>
      <c r="AG67" s="12"/>
      <c r="AH67" s="12"/>
      <c r="AI67" s="12"/>
    </row>
    <row r="68" spans="1:35" s="10" customFormat="1" x14ac:dyDescent="0.25">
      <c r="A68" s="12"/>
      <c r="B68" s="12"/>
      <c r="C68" s="12"/>
      <c r="D68"/>
      <c r="E68" s="24"/>
      <c r="F68" s="23"/>
      <c r="G68" s="23"/>
      <c r="H68" s="26"/>
      <c r="I68" s="22"/>
      <c r="J68" s="22"/>
      <c r="K68" s="22"/>
      <c r="L68" s="22"/>
      <c r="M68" s="21"/>
      <c r="N68" s="22"/>
      <c r="O68" s="22"/>
      <c r="P68" s="22"/>
      <c r="Q68" s="23"/>
      <c r="R68" s="23"/>
      <c r="S68" s="22"/>
      <c r="T68" s="21"/>
      <c r="U68"/>
      <c r="V68"/>
      <c r="W68"/>
      <c r="X68"/>
      <c r="Y68"/>
      <c r="Z68" s="12"/>
      <c r="AA68" s="12"/>
      <c r="AB68" s="12"/>
      <c r="AC68" s="12"/>
      <c r="AD68" s="12"/>
      <c r="AE68" s="12"/>
      <c r="AF68" s="12"/>
      <c r="AG68" s="12"/>
      <c r="AH68" s="12"/>
      <c r="AI68" s="12"/>
    </row>
    <row r="69" spans="1:35" s="10" customFormat="1" x14ac:dyDescent="0.25">
      <c r="A69" s="12"/>
      <c r="B69" s="12"/>
      <c r="C69" s="12"/>
      <c r="D69"/>
      <c r="E69" s="24"/>
      <c r="F69" s="23"/>
      <c r="G69" s="23"/>
      <c r="H69" s="26"/>
      <c r="I69" s="22"/>
      <c r="J69" s="22"/>
      <c r="K69" s="22"/>
      <c r="L69" s="22"/>
      <c r="M69" s="21"/>
      <c r="N69" s="22"/>
      <c r="O69" s="22"/>
      <c r="P69" s="22"/>
      <c r="Q69" s="23"/>
      <c r="R69" s="23"/>
      <c r="S69" s="22"/>
      <c r="T69" s="21"/>
      <c r="U69"/>
      <c r="V69"/>
      <c r="W69"/>
      <c r="X69"/>
      <c r="Y69"/>
      <c r="Z69" s="12"/>
      <c r="AA69" s="12"/>
      <c r="AB69" s="12"/>
      <c r="AC69" s="12"/>
      <c r="AD69" s="12"/>
      <c r="AE69" s="12"/>
      <c r="AF69" s="12"/>
      <c r="AG69" s="12"/>
      <c r="AH69" s="12"/>
      <c r="AI69" s="12"/>
    </row>
    <row r="70" spans="1:35" s="10" customFormat="1" x14ac:dyDescent="0.25">
      <c r="A70" s="12"/>
      <c r="B70" s="12"/>
      <c r="C70" s="12"/>
      <c r="D70"/>
      <c r="E70" s="24"/>
      <c r="F70" s="23"/>
      <c r="G70" s="23"/>
      <c r="H70" s="26"/>
      <c r="I70" s="22"/>
      <c r="J70" s="22"/>
      <c r="K70" s="22"/>
      <c r="L70" s="22"/>
      <c r="M70" s="21"/>
      <c r="N70" s="22"/>
      <c r="O70" s="22"/>
      <c r="P70" s="22"/>
      <c r="Q70" s="23"/>
      <c r="R70" s="23"/>
      <c r="S70" s="22"/>
      <c r="T70" s="21"/>
      <c r="U70"/>
      <c r="V70"/>
      <c r="W70"/>
      <c r="X70"/>
      <c r="Y70"/>
      <c r="Z70" s="12"/>
      <c r="AA70" s="12"/>
      <c r="AB70" s="12"/>
      <c r="AC70" s="12"/>
      <c r="AD70" s="12"/>
      <c r="AE70" s="12"/>
      <c r="AF70" s="12"/>
      <c r="AG70" s="12"/>
      <c r="AH70" s="12"/>
      <c r="AI70" s="12"/>
    </row>
    <row r="71" spans="1:35" s="10" customFormat="1" x14ac:dyDescent="0.25">
      <c r="A71" s="12"/>
      <c r="B71" s="12"/>
      <c r="C71" s="12"/>
      <c r="D71"/>
      <c r="E71" s="24"/>
      <c r="F71" s="23"/>
      <c r="G71" s="23"/>
      <c r="H71" s="26"/>
      <c r="I71" s="22"/>
      <c r="J71" s="22"/>
      <c r="K71" s="22"/>
      <c r="L71" s="22"/>
      <c r="M71" s="21"/>
      <c r="N71" s="22"/>
      <c r="O71" s="22"/>
      <c r="P71" s="22"/>
      <c r="Q71" s="23"/>
      <c r="R71" s="23"/>
      <c r="S71" s="22"/>
      <c r="T71" s="21"/>
      <c r="U71"/>
      <c r="V71"/>
      <c r="W71"/>
      <c r="X71"/>
      <c r="Y71"/>
      <c r="Z71" s="12"/>
      <c r="AA71" s="12"/>
      <c r="AB71" s="12"/>
      <c r="AC71" s="12"/>
      <c r="AD71" s="12"/>
      <c r="AE71" s="12"/>
      <c r="AF71" s="12"/>
      <c r="AG71" s="12"/>
      <c r="AH71" s="12"/>
      <c r="AI71" s="12"/>
    </row>
    <row r="72" spans="1:35" s="10" customFormat="1" x14ac:dyDescent="0.25">
      <c r="A72" s="12"/>
      <c r="B72" s="12"/>
      <c r="C72" s="12"/>
      <c r="D72"/>
      <c r="E72" s="24"/>
      <c r="F72" s="23"/>
      <c r="G72" s="23"/>
      <c r="H72" s="26"/>
      <c r="I72" s="22"/>
      <c r="J72" s="22"/>
      <c r="K72" s="22"/>
      <c r="L72" s="22"/>
      <c r="M72" s="21"/>
      <c r="N72" s="22"/>
      <c r="O72" s="22"/>
      <c r="P72" s="22"/>
      <c r="Q72" s="23"/>
      <c r="R72" s="23"/>
      <c r="S72" s="22"/>
      <c r="T72" s="21"/>
      <c r="U72"/>
      <c r="V72"/>
      <c r="W72"/>
      <c r="X72"/>
      <c r="Y72"/>
      <c r="Z72" s="12"/>
      <c r="AA72" s="12"/>
      <c r="AB72" s="12"/>
      <c r="AC72" s="12"/>
      <c r="AD72" s="12"/>
      <c r="AE72" s="12"/>
      <c r="AF72" s="12"/>
      <c r="AG72" s="12"/>
      <c r="AH72" s="12"/>
      <c r="AI72" s="12"/>
    </row>
    <row r="73" spans="1:35" s="10" customFormat="1" x14ac:dyDescent="0.25">
      <c r="A73" s="12"/>
      <c r="B73" s="12"/>
      <c r="C73" s="12"/>
      <c r="D73"/>
      <c r="E73" s="24"/>
      <c r="F73" s="23"/>
      <c r="G73" s="23"/>
      <c r="H73" s="26"/>
      <c r="I73" s="22"/>
      <c r="J73" s="22"/>
      <c r="K73" s="22"/>
      <c r="L73" s="22"/>
      <c r="M73" s="21"/>
      <c r="N73" s="22"/>
      <c r="O73" s="22"/>
      <c r="P73" s="22"/>
      <c r="Q73" s="23"/>
      <c r="R73" s="23"/>
      <c r="S73" s="22"/>
      <c r="T73" s="21"/>
      <c r="U73"/>
      <c r="V73"/>
      <c r="W73"/>
      <c r="X73"/>
      <c r="Y73"/>
      <c r="Z73" s="12"/>
      <c r="AA73" s="12"/>
      <c r="AB73" s="12"/>
      <c r="AC73" s="12"/>
      <c r="AD73" s="12"/>
      <c r="AE73" s="12"/>
      <c r="AF73" s="12"/>
      <c r="AG73" s="12"/>
      <c r="AH73" s="12"/>
      <c r="AI73" s="12"/>
    </row>
    <row r="74" spans="1:35" s="10" customFormat="1" x14ac:dyDescent="0.25">
      <c r="A74" s="12"/>
      <c r="B74" s="12"/>
      <c r="C74" s="12"/>
      <c r="D74"/>
      <c r="E74" s="24"/>
      <c r="F74" s="23"/>
      <c r="G74" s="23"/>
      <c r="H74" s="26"/>
      <c r="I74" s="22"/>
      <c r="J74" s="22"/>
      <c r="K74" s="22"/>
      <c r="L74" s="22"/>
      <c r="M74" s="21"/>
      <c r="N74" s="22"/>
      <c r="O74" s="22"/>
      <c r="P74" s="22"/>
      <c r="Q74" s="23"/>
      <c r="R74" s="23"/>
      <c r="S74" s="22"/>
      <c r="T74" s="21"/>
      <c r="U74"/>
      <c r="V74"/>
      <c r="W74"/>
      <c r="X74"/>
      <c r="Y74"/>
      <c r="Z74" s="12"/>
      <c r="AA74" s="12"/>
      <c r="AB74" s="12"/>
      <c r="AC74" s="12"/>
      <c r="AD74" s="12"/>
      <c r="AE74" s="12"/>
      <c r="AF74" s="12"/>
      <c r="AG74" s="12"/>
      <c r="AH74" s="12"/>
      <c r="AI74" s="12"/>
    </row>
    <row r="75" spans="1:35" s="10" customFormat="1" x14ac:dyDescent="0.25">
      <c r="A75" s="12"/>
      <c r="B75" s="12"/>
      <c r="C75" s="12"/>
      <c r="D75"/>
      <c r="E75" s="24"/>
      <c r="F75" s="23"/>
      <c r="G75" s="23"/>
      <c r="H75" s="26"/>
      <c r="I75" s="22"/>
      <c r="J75" s="22"/>
      <c r="K75" s="22"/>
      <c r="L75" s="22"/>
      <c r="M75" s="21"/>
      <c r="N75" s="22"/>
      <c r="O75" s="22"/>
      <c r="P75" s="22"/>
      <c r="Q75" s="23"/>
      <c r="R75" s="23"/>
      <c r="S75" s="22"/>
      <c r="T75" s="21"/>
      <c r="U75"/>
      <c r="V75"/>
      <c r="W75"/>
      <c r="X75"/>
      <c r="Y75"/>
      <c r="Z75" s="12"/>
      <c r="AA75" s="12"/>
      <c r="AB75" s="12"/>
      <c r="AC75" s="12"/>
      <c r="AD75" s="12"/>
      <c r="AE75" s="12"/>
      <c r="AF75" s="12"/>
      <c r="AG75" s="12"/>
      <c r="AH75" s="12"/>
      <c r="AI75" s="12"/>
    </row>
    <row r="76" spans="1:35" s="10" customFormat="1" x14ac:dyDescent="0.25">
      <c r="A76" s="12"/>
      <c r="B76" s="12"/>
      <c r="C76" s="12"/>
      <c r="D76"/>
      <c r="E76" s="24"/>
      <c r="F76" s="23"/>
      <c r="G76" s="23"/>
      <c r="H76" s="26"/>
      <c r="I76" s="22"/>
      <c r="J76" s="22"/>
      <c r="K76" s="22"/>
      <c r="L76" s="22"/>
      <c r="M76" s="21"/>
      <c r="N76" s="22"/>
      <c r="O76" s="22"/>
      <c r="P76" s="22"/>
      <c r="Q76" s="23"/>
      <c r="R76" s="23"/>
      <c r="S76" s="22"/>
      <c r="T76" s="21"/>
      <c r="U76"/>
      <c r="V76"/>
      <c r="W76"/>
      <c r="X76"/>
      <c r="Y76"/>
      <c r="Z76" s="12"/>
      <c r="AA76" s="12"/>
      <c r="AB76" s="12"/>
      <c r="AC76" s="12"/>
      <c r="AD76" s="12"/>
      <c r="AE76" s="12"/>
      <c r="AF76" s="12"/>
      <c r="AG76" s="12"/>
      <c r="AH76" s="12"/>
      <c r="AI76" s="12"/>
    </row>
    <row r="77" spans="1:35" s="10" customFormat="1" x14ac:dyDescent="0.25">
      <c r="A77" s="12"/>
      <c r="B77" s="12"/>
      <c r="C77" s="12"/>
      <c r="D77"/>
      <c r="E77" s="24"/>
      <c r="F77" s="23"/>
      <c r="G77" s="23"/>
      <c r="H77" s="26"/>
      <c r="I77" s="22"/>
      <c r="J77" s="22"/>
      <c r="K77" s="22"/>
      <c r="L77" s="22"/>
      <c r="M77" s="21"/>
      <c r="N77" s="22"/>
      <c r="O77" s="22"/>
      <c r="P77" s="22"/>
      <c r="Q77" s="23"/>
      <c r="R77" s="23"/>
      <c r="S77" s="22"/>
      <c r="T77" s="21"/>
      <c r="U77"/>
      <c r="V77"/>
      <c r="W77"/>
      <c r="X77"/>
      <c r="Y77"/>
      <c r="Z77" s="12"/>
      <c r="AA77" s="12"/>
      <c r="AB77" s="12"/>
      <c r="AC77" s="12"/>
      <c r="AD77" s="12"/>
      <c r="AE77" s="12"/>
      <c r="AF77" s="12"/>
      <c r="AG77" s="12"/>
      <c r="AH77" s="12"/>
      <c r="AI77" s="12"/>
    </row>
    <row r="78" spans="1:35" s="10" customFormat="1" x14ac:dyDescent="0.25">
      <c r="A78" s="12"/>
      <c r="B78" s="12"/>
      <c r="C78" s="12"/>
      <c r="D78"/>
      <c r="E78" s="24"/>
      <c r="F78" s="23"/>
      <c r="G78" s="23"/>
      <c r="H78" s="26"/>
      <c r="I78" s="22"/>
      <c r="J78" s="22"/>
      <c r="K78" s="22"/>
      <c r="L78" s="22"/>
      <c r="M78" s="21"/>
      <c r="N78" s="22"/>
      <c r="O78" s="22"/>
      <c r="P78" s="22"/>
      <c r="Q78" s="23"/>
      <c r="R78" s="23"/>
      <c r="S78" s="22"/>
      <c r="T78" s="21"/>
      <c r="U78"/>
      <c r="V78"/>
      <c r="W78"/>
      <c r="X78"/>
      <c r="Y78"/>
      <c r="Z78" s="12"/>
      <c r="AA78" s="12"/>
      <c r="AB78" s="12"/>
      <c r="AC78" s="12"/>
      <c r="AD78" s="12"/>
      <c r="AE78" s="12"/>
      <c r="AF78" s="12"/>
      <c r="AG78" s="12"/>
      <c r="AH78" s="12"/>
      <c r="AI78" s="12"/>
    </row>
    <row r="79" spans="1:35" s="10" customFormat="1" x14ac:dyDescent="0.25">
      <c r="A79" s="12"/>
      <c r="B79" s="12"/>
      <c r="C79" s="12"/>
      <c r="D79"/>
      <c r="E79" s="24"/>
      <c r="F79" s="23"/>
      <c r="G79" s="23"/>
      <c r="H79" s="26"/>
      <c r="I79" s="22"/>
      <c r="J79" s="22"/>
      <c r="K79" s="22"/>
      <c r="L79" s="22"/>
      <c r="M79" s="21"/>
      <c r="N79" s="22"/>
      <c r="O79" s="22"/>
      <c r="P79" s="22"/>
      <c r="Q79" s="23"/>
      <c r="R79" s="23"/>
      <c r="S79" s="22"/>
      <c r="T79" s="21"/>
      <c r="U79"/>
      <c r="V79"/>
      <c r="W79"/>
      <c r="X79"/>
      <c r="Y79"/>
      <c r="Z79" s="12"/>
      <c r="AA79" s="12"/>
      <c r="AB79" s="12"/>
      <c r="AC79" s="12"/>
      <c r="AD79" s="12"/>
      <c r="AE79" s="12"/>
      <c r="AF79" s="12"/>
      <c r="AG79" s="12"/>
      <c r="AH79" s="12"/>
      <c r="AI79" s="12"/>
    </row>
    <row r="80" spans="1:35" s="10" customFormat="1" x14ac:dyDescent="0.25">
      <c r="A80" s="12"/>
      <c r="B80" s="12"/>
      <c r="C80" s="12"/>
      <c r="D80"/>
      <c r="E80" s="24"/>
      <c r="F80" s="23"/>
      <c r="G80" s="23"/>
      <c r="H80" s="26"/>
      <c r="I80" s="22"/>
      <c r="J80" s="22"/>
      <c r="K80" s="22"/>
      <c r="L80" s="22"/>
      <c r="M80" s="21"/>
      <c r="N80" s="22"/>
      <c r="O80" s="22"/>
      <c r="P80" s="22"/>
      <c r="Q80" s="23"/>
      <c r="R80" s="23"/>
      <c r="S80" s="22"/>
      <c r="T80" s="21"/>
      <c r="U80"/>
      <c r="V80"/>
      <c r="W80"/>
      <c r="X80"/>
      <c r="Y80"/>
      <c r="Z80" s="12"/>
      <c r="AA80" s="12"/>
      <c r="AB80" s="12"/>
      <c r="AC80" s="12"/>
      <c r="AD80" s="12"/>
      <c r="AE80" s="12"/>
      <c r="AF80" s="12"/>
      <c r="AG80" s="12"/>
      <c r="AH80" s="12"/>
      <c r="AI80" s="12"/>
    </row>
    <row r="81" spans="1:35" s="10" customFormat="1" x14ac:dyDescent="0.25">
      <c r="A81" s="12"/>
      <c r="B81" s="12"/>
      <c r="C81" s="12"/>
      <c r="D81"/>
      <c r="E81" s="24"/>
      <c r="F81" s="23"/>
      <c r="G81" s="23"/>
      <c r="H81" s="26"/>
      <c r="I81" s="22"/>
      <c r="J81" s="22"/>
      <c r="K81" s="22"/>
      <c r="L81" s="22"/>
      <c r="M81" s="21"/>
      <c r="N81" s="22"/>
      <c r="O81" s="22"/>
      <c r="P81" s="22"/>
      <c r="Q81" s="23"/>
      <c r="R81" s="23"/>
      <c r="S81" s="22"/>
      <c r="T81" s="21"/>
      <c r="U81"/>
      <c r="V81"/>
      <c r="W81"/>
      <c r="X81"/>
      <c r="Y81"/>
      <c r="Z81" s="12"/>
      <c r="AA81" s="12"/>
      <c r="AB81" s="12"/>
      <c r="AC81" s="12"/>
      <c r="AD81" s="12"/>
      <c r="AE81" s="12"/>
      <c r="AF81" s="12"/>
      <c r="AG81" s="12"/>
      <c r="AH81" s="12"/>
      <c r="AI81" s="12"/>
    </row>
    <row r="82" spans="1:35" s="10" customFormat="1" x14ac:dyDescent="0.25">
      <c r="A82" s="12"/>
      <c r="B82" s="12"/>
      <c r="C82" s="12"/>
      <c r="D82"/>
      <c r="E82" s="24"/>
      <c r="F82" s="23"/>
      <c r="G82" s="23"/>
      <c r="H82" s="26"/>
      <c r="I82" s="22"/>
      <c r="J82" s="22"/>
      <c r="K82" s="22"/>
      <c r="L82" s="22"/>
      <c r="M82" s="21"/>
      <c r="N82" s="22"/>
      <c r="O82" s="22"/>
      <c r="P82" s="22"/>
      <c r="Q82" s="23"/>
      <c r="R82" s="23"/>
      <c r="S82" s="22"/>
      <c r="T82" s="21"/>
      <c r="U82"/>
      <c r="V82"/>
      <c r="W82"/>
      <c r="X82"/>
      <c r="Y82"/>
      <c r="Z82" s="12"/>
      <c r="AA82" s="12"/>
      <c r="AB82" s="12"/>
      <c r="AC82" s="12"/>
      <c r="AD82" s="12"/>
      <c r="AE82" s="12"/>
      <c r="AF82" s="12"/>
      <c r="AG82" s="12"/>
      <c r="AH82" s="12"/>
      <c r="AI82" s="12"/>
    </row>
    <row r="83" spans="1:35" s="10" customFormat="1" x14ac:dyDescent="0.25">
      <c r="A83" s="12"/>
      <c r="B83" s="12"/>
      <c r="C83" s="12"/>
      <c r="D83"/>
      <c r="E83" s="24"/>
      <c r="F83" s="23"/>
      <c r="G83" s="23"/>
      <c r="H83" s="26"/>
      <c r="I83" s="22"/>
      <c r="J83" s="22"/>
      <c r="K83" s="22"/>
      <c r="L83" s="22"/>
      <c r="M83" s="21"/>
      <c r="N83" s="22"/>
      <c r="O83" s="22"/>
      <c r="P83" s="22"/>
      <c r="Q83" s="23"/>
      <c r="R83" s="23"/>
      <c r="S83" s="22"/>
      <c r="T83" s="21"/>
      <c r="U83"/>
      <c r="V83"/>
      <c r="W83"/>
      <c r="X83"/>
      <c r="Y83"/>
      <c r="Z83" s="12"/>
      <c r="AA83" s="12"/>
      <c r="AB83" s="12"/>
      <c r="AC83" s="12"/>
      <c r="AD83" s="12"/>
      <c r="AE83" s="12"/>
      <c r="AF83" s="12"/>
      <c r="AG83" s="12"/>
      <c r="AH83" s="12"/>
      <c r="AI83" s="12"/>
    </row>
    <row r="84" spans="1:35" s="10" customFormat="1" x14ac:dyDescent="0.25">
      <c r="A84" s="12"/>
      <c r="B84" s="12"/>
      <c r="C84" s="12"/>
      <c r="D84"/>
      <c r="E84" s="24"/>
      <c r="F84" s="23"/>
      <c r="G84" s="23"/>
      <c r="H84" s="26"/>
      <c r="I84" s="22"/>
      <c r="J84" s="22"/>
      <c r="K84" s="22"/>
      <c r="L84" s="22"/>
      <c r="M84" s="21"/>
      <c r="N84" s="22"/>
      <c r="O84" s="22"/>
      <c r="P84" s="22"/>
      <c r="Q84" s="23"/>
      <c r="R84" s="23"/>
      <c r="S84" s="22"/>
      <c r="T84" s="21"/>
      <c r="U84"/>
      <c r="V84"/>
      <c r="W84"/>
      <c r="X84"/>
      <c r="Y84"/>
      <c r="Z84" s="12"/>
      <c r="AA84" s="12"/>
      <c r="AB84" s="12"/>
      <c r="AC84" s="12"/>
      <c r="AD84" s="12"/>
      <c r="AE84" s="12"/>
      <c r="AF84" s="12"/>
      <c r="AG84" s="12"/>
      <c r="AH84" s="12"/>
      <c r="AI84" s="12"/>
    </row>
    <row r="85" spans="1:35" s="10" customFormat="1" x14ac:dyDescent="0.25">
      <c r="A85" s="12"/>
      <c r="B85" s="12"/>
      <c r="C85" s="12"/>
      <c r="D85"/>
      <c r="E85" s="24"/>
      <c r="F85" s="23"/>
      <c r="G85" s="23"/>
      <c r="H85" s="26"/>
      <c r="I85" s="22"/>
      <c r="J85" s="22"/>
      <c r="K85" s="22"/>
      <c r="L85" s="22"/>
      <c r="M85" s="21"/>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2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2"/>
      <c r="H87" s="25"/>
      <c r="I87" s="22"/>
      <c r="J87" s="22"/>
      <c r="K87" s="22"/>
      <c r="L87" s="22"/>
      <c r="M87" s="24"/>
      <c r="N87" s="22"/>
      <c r="O87" s="22"/>
      <c r="P87" s="22"/>
      <c r="Q87" s="22"/>
      <c r="R87" s="22"/>
      <c r="S87" s="22"/>
      <c r="T87" s="19"/>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2"/>
      <c r="H88" s="22"/>
      <c r="I88" s="22"/>
      <c r="J88" s="22"/>
      <c r="K88" s="22"/>
      <c r="L88" s="22"/>
      <c r="M88" s="21"/>
      <c r="N88" s="22"/>
      <c r="O88" s="22"/>
      <c r="P88" s="22"/>
      <c r="Q88" s="22"/>
      <c r="R88" s="22"/>
      <c r="S88" s="22"/>
      <c r="T88" s="19"/>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2"/>
      <c r="J89" s="22"/>
      <c r="K89" s="22"/>
      <c r="L89" s="22"/>
      <c r="M89" s="24"/>
      <c r="N89" s="22"/>
      <c r="O89" s="22"/>
      <c r="P89" s="22"/>
      <c r="Q89" s="22"/>
      <c r="R89" s="28"/>
      <c r="S89" s="22"/>
      <c r="T89" s="24"/>
      <c r="U89"/>
      <c r="V89"/>
      <c r="W89"/>
      <c r="X89"/>
      <c r="Y89"/>
      <c r="Z89" s="12"/>
      <c r="AA89" s="12"/>
      <c r="AB89" s="12"/>
      <c r="AC89" s="12"/>
      <c r="AD89" s="12"/>
      <c r="AE89" s="12"/>
      <c r="AF89" s="12"/>
      <c r="AG89" s="12"/>
      <c r="AH89" s="12"/>
      <c r="AI89" s="12"/>
    </row>
    <row r="90" spans="1:35" s="10" customFormat="1" x14ac:dyDescent="0.25">
      <c r="A90" s="12"/>
      <c r="B90" s="12"/>
      <c r="C90" s="12"/>
      <c r="D90"/>
      <c r="E90" s="19"/>
      <c r="F90" s="23"/>
      <c r="G90" s="22"/>
      <c r="H90" s="22"/>
      <c r="I90" s="22"/>
      <c r="J90" s="22"/>
      <c r="K90" s="22"/>
      <c r="L90" s="23"/>
      <c r="M90" s="24"/>
      <c r="N90" s="22"/>
      <c r="O90" s="22"/>
      <c r="P90" s="22"/>
      <c r="Q90" s="22"/>
      <c r="R90" s="28"/>
      <c r="S90" s="22"/>
      <c r="T90" s="24"/>
      <c r="U90"/>
      <c r="V90"/>
      <c r="W90"/>
      <c r="X90"/>
      <c r="Y90"/>
      <c r="Z90" s="12"/>
      <c r="AA90" s="12"/>
      <c r="AB90" s="12"/>
      <c r="AC90" s="12"/>
      <c r="AD90" s="12"/>
      <c r="AE90" s="12"/>
      <c r="AF90" s="12"/>
      <c r="AG90" s="12"/>
      <c r="AH90" s="12"/>
      <c r="AI90" s="12"/>
    </row>
    <row r="91" spans="1:35" s="10" customFormat="1" x14ac:dyDescent="0.25">
      <c r="A91" s="12"/>
      <c r="B91" s="12"/>
      <c r="C91" s="12"/>
      <c r="D91"/>
      <c r="E91" s="19"/>
      <c r="F91" s="23"/>
      <c r="G91" s="22"/>
      <c r="H91" s="25"/>
      <c r="I91" s="22"/>
      <c r="J91" s="22"/>
      <c r="K91" s="22"/>
      <c r="L91" s="23"/>
      <c r="M91" s="24"/>
      <c r="N91" s="22"/>
      <c r="O91" s="22"/>
      <c r="P91" s="22"/>
      <c r="Q91" s="22"/>
      <c r="R91" s="28"/>
      <c r="S91" s="22"/>
      <c r="T91" s="24"/>
      <c r="U91"/>
      <c r="V91"/>
      <c r="W91"/>
      <c r="X91"/>
      <c r="Y91"/>
      <c r="Z91" s="12"/>
      <c r="AA91" s="12"/>
      <c r="AB91" s="12"/>
      <c r="AC91" s="12"/>
      <c r="AD91" s="12"/>
      <c r="AE91" s="12"/>
      <c r="AF91" s="12"/>
      <c r="AG91" s="12"/>
      <c r="AH91" s="12"/>
      <c r="AI91" s="12"/>
    </row>
    <row r="92" spans="1:35" s="10" customFormat="1" x14ac:dyDescent="0.25">
      <c r="A92" s="12"/>
      <c r="B92" s="12"/>
      <c r="C92" s="12"/>
      <c r="D92"/>
      <c r="E92" s="19"/>
      <c r="F92" s="23"/>
      <c r="G92" s="22"/>
      <c r="H92" s="22"/>
      <c r="I92" s="22"/>
      <c r="J92" s="22"/>
      <c r="K92" s="22"/>
      <c r="L92" s="23"/>
      <c r="M92" s="24"/>
      <c r="N92" s="22"/>
      <c r="O92" s="22"/>
      <c r="P92" s="22"/>
      <c r="Q92" s="22"/>
      <c r="R92" s="28"/>
      <c r="S92" s="22"/>
      <c r="T92" s="24"/>
      <c r="U92"/>
      <c r="V92"/>
      <c r="W92"/>
      <c r="X92"/>
      <c r="Y92"/>
      <c r="Z92" s="12"/>
      <c r="AA92" s="12"/>
      <c r="AB92" s="12"/>
      <c r="AC92" s="12"/>
      <c r="AD92" s="12"/>
      <c r="AE92" s="12"/>
      <c r="AF92" s="12"/>
      <c r="AG92" s="12"/>
      <c r="AH92" s="12"/>
      <c r="AI92" s="12"/>
    </row>
    <row r="93" spans="1:35" s="10" customFormat="1" x14ac:dyDescent="0.25">
      <c r="A93" s="12"/>
      <c r="B93" s="12"/>
      <c r="C93" s="12"/>
      <c r="D93"/>
      <c r="E93" s="19"/>
      <c r="F93" s="23"/>
      <c r="G93" s="22"/>
      <c r="H93" s="22"/>
      <c r="I93" s="22"/>
      <c r="J93" s="22"/>
      <c r="K93" s="22"/>
      <c r="L93" s="23"/>
      <c r="M93" s="24"/>
      <c r="N93" s="22"/>
      <c r="O93" s="22"/>
      <c r="P93" s="22"/>
      <c r="Q93" s="22"/>
      <c r="R93" s="28"/>
      <c r="S93" s="22"/>
      <c r="T93" s="24"/>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3"/>
      <c r="I94" s="22"/>
      <c r="J94" s="22"/>
      <c r="K94" s="22"/>
      <c r="L94" s="22"/>
      <c r="M94" s="24"/>
      <c r="N94" s="22"/>
      <c r="O94" s="22"/>
      <c r="P94" s="22"/>
      <c r="Q94" s="22"/>
      <c r="R94" s="28"/>
      <c r="S94" s="22"/>
      <c r="T94" s="24"/>
      <c r="U94"/>
      <c r="V94"/>
      <c r="W94"/>
      <c r="X94"/>
      <c r="Y94"/>
      <c r="Z94" s="12"/>
      <c r="AA94" s="12"/>
      <c r="AB94" s="12"/>
      <c r="AC94" s="12"/>
      <c r="AD94" s="12"/>
      <c r="AE94" s="12"/>
      <c r="AF94" s="12"/>
      <c r="AG94" s="12"/>
      <c r="AH94" s="12"/>
      <c r="AI94" s="12"/>
    </row>
    <row r="95" spans="1:35" s="10" customFormat="1" x14ac:dyDescent="0.25">
      <c r="A95" s="12"/>
      <c r="B95" s="12"/>
      <c r="C95" s="12"/>
      <c r="D95"/>
      <c r="E95" s="19"/>
      <c r="F95" s="23"/>
      <c r="G95" s="22"/>
      <c r="H95" s="22"/>
      <c r="I95" s="22"/>
      <c r="J95" s="22"/>
      <c r="K95" s="22"/>
      <c r="L95" s="23"/>
      <c r="M95" s="24"/>
      <c r="N95" s="22"/>
      <c r="O95" s="22"/>
      <c r="P95" s="22"/>
      <c r="Q95" s="22"/>
      <c r="R95" s="28"/>
      <c r="S95" s="22"/>
      <c r="T95" s="24"/>
      <c r="U95"/>
      <c r="V95"/>
      <c r="W95"/>
      <c r="X95"/>
      <c r="Y95"/>
      <c r="Z95" s="12"/>
      <c r="AA95" s="12"/>
      <c r="AB95" s="12"/>
      <c r="AC95" s="12"/>
      <c r="AD95" s="12"/>
      <c r="AE95" s="12"/>
      <c r="AF95" s="12"/>
      <c r="AG95" s="12"/>
      <c r="AH95" s="12"/>
      <c r="AI95" s="12"/>
    </row>
    <row r="96" spans="1:35" s="10" customFormat="1" x14ac:dyDescent="0.25">
      <c r="A96" s="12"/>
      <c r="B96" s="12"/>
      <c r="C96" s="12"/>
      <c r="D96"/>
      <c r="E96" s="19"/>
      <c r="F96" s="23"/>
      <c r="G96" s="22"/>
      <c r="H96" s="22"/>
      <c r="I96" s="22"/>
      <c r="J96" s="22"/>
      <c r="K96" s="22"/>
      <c r="L96" s="23"/>
      <c r="M96" s="21"/>
      <c r="N96" s="22"/>
      <c r="O96" s="22"/>
      <c r="P96" s="22"/>
      <c r="Q96" s="22"/>
      <c r="R96" s="28"/>
      <c r="S96" s="22"/>
      <c r="T96" s="24"/>
      <c r="U96"/>
      <c r="V96"/>
      <c r="W96"/>
      <c r="X96"/>
      <c r="Y96"/>
      <c r="Z96" s="12"/>
      <c r="AA96" s="12"/>
      <c r="AB96" s="12"/>
      <c r="AC96" s="12"/>
      <c r="AD96" s="12"/>
      <c r="AE96" s="12"/>
      <c r="AF96" s="12"/>
      <c r="AG96" s="12"/>
      <c r="AH96" s="12"/>
      <c r="AI96" s="12"/>
    </row>
    <row r="97" spans="1:35" s="10" customFormat="1" x14ac:dyDescent="0.25">
      <c r="A97" s="12"/>
      <c r="B97" s="12"/>
      <c r="C97" s="12"/>
      <c r="D97"/>
      <c r="E97" s="21"/>
      <c r="F97" s="23"/>
      <c r="G97" s="23"/>
      <c r="H97" s="23"/>
      <c r="I97" s="22"/>
      <c r="J97" s="22"/>
      <c r="K97" s="22"/>
      <c r="L97" s="22"/>
      <c r="M97" s="21"/>
      <c r="N97" s="22"/>
      <c r="O97" s="22"/>
      <c r="P97" s="22"/>
      <c r="Q97" s="22"/>
      <c r="R97" s="22"/>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3"/>
      <c r="I98" s="22"/>
      <c r="J98" s="22"/>
      <c r="K98" s="22"/>
      <c r="L98" s="23"/>
      <c r="M98" s="21"/>
      <c r="N98" s="22"/>
      <c r="O98" s="22"/>
      <c r="P98" s="22"/>
      <c r="Q98" s="22"/>
      <c r="R98" s="28"/>
      <c r="S98" s="22"/>
      <c r="T98" s="24"/>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3"/>
      <c r="I99" s="22"/>
      <c r="J99" s="22"/>
      <c r="K99" s="22"/>
      <c r="L99" s="23"/>
      <c r="M99" s="21"/>
      <c r="N99" s="22"/>
      <c r="O99" s="22"/>
      <c r="P99" s="22"/>
      <c r="Q99" s="22"/>
      <c r="R99" s="28"/>
      <c r="S99" s="22"/>
      <c r="T99" s="24"/>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3"/>
      <c r="I100" s="22"/>
      <c r="J100" s="22"/>
      <c r="K100" s="22"/>
      <c r="L100" s="22"/>
      <c r="M100" s="21"/>
      <c r="N100" s="22"/>
      <c r="O100" s="22"/>
      <c r="P100" s="22"/>
      <c r="Q100" s="22"/>
      <c r="R100" s="28"/>
      <c r="S100" s="22"/>
      <c r="T100" s="24"/>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30"/>
      <c r="N101" s="22"/>
      <c r="O101" s="22"/>
      <c r="P101" s="22"/>
      <c r="Q101" s="23"/>
      <c r="R101" s="23"/>
      <c r="S101" s="22"/>
      <c r="T101" s="27"/>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4"/>
      <c r="N102" s="22"/>
      <c r="O102" s="22"/>
      <c r="P102" s="22"/>
      <c r="Q102" s="23"/>
      <c r="R102" s="23"/>
      <c r="S102" s="22"/>
      <c r="T102" s="24"/>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4"/>
      <c r="N103" s="22"/>
      <c r="O103" s="22"/>
      <c r="P103" s="22"/>
      <c r="Q103" s="23"/>
      <c r="R103" s="23"/>
      <c r="S103" s="22"/>
      <c r="T103" s="24"/>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4"/>
      <c r="N104" s="22"/>
      <c r="O104" s="22"/>
      <c r="P104" s="22"/>
      <c r="Q104" s="23"/>
      <c r="R104" s="23"/>
      <c r="S104" s="22"/>
      <c r="T104" s="24"/>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4"/>
      <c r="N105" s="22"/>
      <c r="O105" s="22"/>
      <c r="P105" s="22"/>
      <c r="Q105" s="23"/>
      <c r="R105" s="23"/>
      <c r="S105" s="22"/>
      <c r="T105" s="24"/>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3"/>
      <c r="H106" s="26"/>
      <c r="I106" s="22"/>
      <c r="J106" s="22"/>
      <c r="K106" s="22"/>
      <c r="L106" s="22"/>
      <c r="M106" s="21"/>
      <c r="N106" s="22"/>
      <c r="O106" s="22"/>
      <c r="P106" s="22"/>
      <c r="Q106" s="23"/>
      <c r="R106" s="23"/>
      <c r="S106" s="22"/>
      <c r="T106" s="21"/>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3"/>
      <c r="H107" s="26"/>
      <c r="I107" s="22"/>
      <c r="J107" s="22"/>
      <c r="K107" s="22"/>
      <c r="L107" s="22"/>
      <c r="M107" s="21"/>
      <c r="N107" s="22"/>
      <c r="O107" s="22"/>
      <c r="P107" s="22"/>
      <c r="Q107" s="23"/>
      <c r="R107" s="23"/>
      <c r="S107" s="22"/>
      <c r="T107" s="21"/>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1"/>
      <c r="N108" s="22"/>
      <c r="O108" s="22"/>
      <c r="P108" s="22"/>
      <c r="Q108" s="23"/>
      <c r="R108" s="23"/>
      <c r="S108" s="22"/>
      <c r="T108" s="21"/>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24"/>
      <c r="F109" s="23"/>
      <c r="G109" s="23"/>
      <c r="H109" s="26"/>
      <c r="I109" s="22"/>
      <c r="J109" s="22"/>
      <c r="K109" s="22"/>
      <c r="L109" s="22"/>
      <c r="M109" s="21"/>
      <c r="N109" s="22"/>
      <c r="O109" s="22"/>
      <c r="P109" s="22"/>
      <c r="Q109" s="23"/>
      <c r="R109" s="23"/>
      <c r="S109" s="22"/>
      <c r="T109" s="21"/>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24"/>
      <c r="F110" s="23"/>
      <c r="G110" s="23"/>
      <c r="H110" s="26"/>
      <c r="I110" s="22"/>
      <c r="J110" s="22"/>
      <c r="K110" s="22"/>
      <c r="L110" s="22"/>
      <c r="M110" s="21"/>
      <c r="N110" s="22"/>
      <c r="O110" s="22"/>
      <c r="P110" s="22"/>
      <c r="Q110" s="23"/>
      <c r="R110" s="23"/>
      <c r="S110" s="22"/>
      <c r="T110" s="21"/>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24"/>
      <c r="F111" s="23"/>
      <c r="G111" s="23"/>
      <c r="H111" s="26"/>
      <c r="I111" s="22"/>
      <c r="J111" s="22"/>
      <c r="K111" s="22"/>
      <c r="L111" s="22"/>
      <c r="M111" s="21"/>
      <c r="N111" s="22"/>
      <c r="O111" s="22"/>
      <c r="P111" s="22"/>
      <c r="Q111" s="23"/>
      <c r="R111" s="23"/>
      <c r="S111" s="22"/>
      <c r="T111" s="21"/>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21"/>
      <c r="F112" s="23"/>
      <c r="G112" s="23"/>
      <c r="H112" s="26"/>
      <c r="I112" s="22"/>
      <c r="J112" s="22"/>
      <c r="K112" s="22"/>
      <c r="L112" s="22"/>
      <c r="M112" s="21"/>
      <c r="N112" s="22"/>
      <c r="O112" s="22"/>
      <c r="P112" s="22"/>
      <c r="Q112" s="23"/>
      <c r="R112" s="23"/>
      <c r="S112" s="22"/>
      <c r="T112" s="21"/>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3"/>
      <c r="I113" s="22"/>
      <c r="J113" s="22"/>
      <c r="K113" s="22"/>
      <c r="L113" s="22"/>
      <c r="M113" s="21"/>
      <c r="N113" s="22"/>
      <c r="O113" s="22"/>
      <c r="P113" s="22"/>
      <c r="Q113" s="23"/>
      <c r="R113" s="23"/>
      <c r="S113" s="22"/>
      <c r="T113" s="21"/>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24"/>
      <c r="F114" s="23"/>
      <c r="G114" s="23"/>
      <c r="H114" s="23"/>
      <c r="I114" s="22"/>
      <c r="J114" s="22"/>
      <c r="K114" s="22"/>
      <c r="L114" s="22"/>
      <c r="M114" s="21"/>
      <c r="N114" s="22"/>
      <c r="O114" s="22"/>
      <c r="P114" s="22"/>
      <c r="Q114" s="23"/>
      <c r="R114" s="23"/>
      <c r="S114" s="22"/>
      <c r="T114" s="21"/>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24"/>
      <c r="F115" s="23"/>
      <c r="G115" s="23"/>
      <c r="H115" s="23"/>
      <c r="I115" s="22"/>
      <c r="J115" s="22"/>
      <c r="K115" s="22"/>
      <c r="L115" s="22"/>
      <c r="M115" s="21"/>
      <c r="N115" s="22"/>
      <c r="O115" s="22"/>
      <c r="P115" s="22"/>
      <c r="Q115" s="23"/>
      <c r="R115" s="23"/>
      <c r="S115" s="22"/>
      <c r="T115" s="21"/>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4"/>
      <c r="F116" s="23"/>
      <c r="G116" s="23"/>
      <c r="H116" s="23"/>
      <c r="I116" s="22"/>
      <c r="J116" s="22"/>
      <c r="K116" s="22"/>
      <c r="L116" s="22"/>
      <c r="M116" s="21"/>
      <c r="N116" s="22"/>
      <c r="O116" s="22"/>
      <c r="P116" s="22"/>
      <c r="Q116" s="23"/>
      <c r="R116" s="23"/>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3"/>
      <c r="I117" s="22"/>
      <c r="J117" s="22"/>
      <c r="K117" s="22"/>
      <c r="L117" s="22"/>
      <c r="M117" s="21"/>
      <c r="N117" s="22"/>
      <c r="O117" s="22"/>
      <c r="P117" s="22"/>
      <c r="Q117" s="23"/>
      <c r="R117" s="23"/>
      <c r="S117" s="22"/>
      <c r="T117" s="21"/>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3"/>
      <c r="I118" s="22"/>
      <c r="J118" s="22"/>
      <c r="K118" s="22"/>
      <c r="L118" s="22"/>
      <c r="M118" s="21"/>
      <c r="N118" s="22"/>
      <c r="O118" s="22"/>
      <c r="P118" s="22"/>
      <c r="Q118" s="23"/>
      <c r="R118" s="23"/>
      <c r="S118" s="22"/>
      <c r="T118" s="21"/>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6"/>
      <c r="I119" s="22"/>
      <c r="J119" s="22"/>
      <c r="K119" s="22"/>
      <c r="L119" s="22"/>
      <c r="M119" s="21"/>
      <c r="N119" s="22"/>
      <c r="O119" s="22"/>
      <c r="P119" s="22"/>
      <c r="Q119" s="23"/>
      <c r="R119" s="23"/>
      <c r="S119" s="22"/>
      <c r="T119" s="21"/>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6"/>
      <c r="I120" s="22"/>
      <c r="J120" s="22"/>
      <c r="K120" s="22"/>
      <c r="L120" s="22"/>
      <c r="M120" s="21"/>
      <c r="N120" s="22"/>
      <c r="O120" s="22"/>
      <c r="P120" s="22"/>
      <c r="Q120" s="22"/>
      <c r="R120" s="28"/>
      <c r="S120" s="22"/>
      <c r="T120" s="21"/>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1"/>
      <c r="F121" s="23"/>
      <c r="G121" s="23"/>
      <c r="H121" s="26"/>
      <c r="I121" s="22"/>
      <c r="J121" s="22"/>
      <c r="K121" s="22"/>
      <c r="L121" s="22"/>
      <c r="M121" s="21"/>
      <c r="N121" s="22"/>
      <c r="O121" s="22"/>
      <c r="P121" s="22"/>
      <c r="Q121" s="23"/>
      <c r="R121" s="23"/>
      <c r="S121" s="22"/>
      <c r="T121" s="21"/>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1"/>
      <c r="F122" s="23"/>
      <c r="G122" s="23"/>
      <c r="H122" s="26"/>
      <c r="I122" s="22"/>
      <c r="J122" s="22"/>
      <c r="K122" s="22"/>
      <c r="L122" s="22"/>
      <c r="M122" s="21"/>
      <c r="N122" s="22"/>
      <c r="O122" s="22"/>
      <c r="P122" s="22"/>
      <c r="Q122" s="23"/>
      <c r="R122" s="23"/>
      <c r="S122" s="22"/>
      <c r="T122" s="21"/>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1"/>
      <c r="F123" s="23"/>
      <c r="G123" s="23"/>
      <c r="H123" s="26"/>
      <c r="I123" s="22"/>
      <c r="J123" s="22"/>
      <c r="K123" s="22"/>
      <c r="L123" s="22"/>
      <c r="M123" s="21"/>
      <c r="N123" s="22"/>
      <c r="O123" s="22"/>
      <c r="P123" s="22"/>
      <c r="Q123" s="23"/>
      <c r="R123" s="23"/>
      <c r="S123" s="22"/>
      <c r="T123" s="21"/>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1"/>
      <c r="F124" s="23"/>
      <c r="G124" s="23"/>
      <c r="H124" s="26"/>
      <c r="I124" s="22"/>
      <c r="J124" s="22"/>
      <c r="K124" s="22"/>
      <c r="L124" s="22"/>
      <c r="M124" s="21"/>
      <c r="N124" s="22"/>
      <c r="O124" s="22"/>
      <c r="P124" s="22"/>
      <c r="Q124" s="23"/>
      <c r="R124" s="23"/>
      <c r="S124" s="22"/>
      <c r="T124" s="21"/>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1"/>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1"/>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2"/>
      <c r="F127" s="22"/>
      <c r="G127" s="22"/>
      <c r="H127" s="22"/>
      <c r="I127" s="22"/>
      <c r="J127" s="22"/>
      <c r="K127" s="22"/>
      <c r="L127" s="22"/>
      <c r="M127" s="22"/>
      <c r="N127" s="22"/>
      <c r="O127" s="22"/>
      <c r="P127" s="22"/>
      <c r="Q127" s="22"/>
      <c r="R127" s="28"/>
      <c r="S127" s="22"/>
      <c r="T127" s="22"/>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1"/>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4"/>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6"/>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6"/>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6"/>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6"/>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6"/>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6"/>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4"/>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4"/>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4"/>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4"/>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4"/>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4"/>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4"/>
      <c r="F146" s="23"/>
      <c r="G146" s="23"/>
      <c r="H146" s="26"/>
      <c r="I146" s="22"/>
      <c r="J146" s="22"/>
      <c r="K146" s="22"/>
      <c r="L146" s="22"/>
      <c r="M146" s="21"/>
      <c r="N146" s="22"/>
      <c r="O146" s="22"/>
      <c r="P146" s="22"/>
      <c r="Q146" s="23"/>
      <c r="R146" s="23"/>
      <c r="S146" s="22"/>
      <c r="T146" s="21"/>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4"/>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s="12"/>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s="12"/>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s="12"/>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s="12"/>
      <c r="Z160" s="12"/>
      <c r="AA160" s="12"/>
      <c r="AB160" s="12"/>
      <c r="AC160" s="12"/>
      <c r="AD160" s="12"/>
      <c r="AE160" s="12"/>
      <c r="AF160" s="12"/>
      <c r="AG160" s="12"/>
      <c r="AH160" s="12"/>
      <c r="AI160" s="12"/>
    </row>
    <row r="161" spans="1:35" s="10" customFormat="1" x14ac:dyDescent="0.25">
      <c r="A161" s="12"/>
      <c r="B161" s="12"/>
      <c r="C161" s="12"/>
      <c r="D161"/>
      <c r="E161" s="24"/>
      <c r="F161" s="23"/>
      <c r="G161" s="22"/>
      <c r="H161" s="25"/>
      <c r="I161" s="22"/>
      <c r="J161" s="22"/>
      <c r="K161" s="22"/>
      <c r="L161" s="22"/>
      <c r="M161" s="24"/>
      <c r="N161" s="22"/>
      <c r="O161" s="22"/>
      <c r="P161" s="22"/>
      <c r="Q161" s="22"/>
      <c r="R161" s="22"/>
      <c r="S161" s="22"/>
      <c r="T161" s="19"/>
      <c r="U161"/>
      <c r="V161"/>
      <c r="W161"/>
      <c r="X161"/>
      <c r="Y161" s="12"/>
      <c r="Z161" s="12"/>
      <c r="AA161" s="12"/>
      <c r="AB161" s="12"/>
      <c r="AC161" s="12"/>
      <c r="AD161" s="12"/>
      <c r="AE161" s="12"/>
      <c r="AF161" s="12"/>
      <c r="AG161" s="12"/>
      <c r="AH161" s="12"/>
      <c r="AI161" s="12"/>
    </row>
    <row r="162" spans="1:35" s="10" customFormat="1" x14ac:dyDescent="0.25">
      <c r="A162" s="12"/>
      <c r="B162" s="12"/>
      <c r="C162" s="12"/>
      <c r="D162"/>
      <c r="E162"/>
      <c r="F162"/>
      <c r="G162"/>
      <c r="H162"/>
      <c r="I162"/>
      <c r="J162"/>
      <c r="K162"/>
      <c r="L162"/>
      <c r="M162"/>
      <c r="N162"/>
      <c r="O162"/>
      <c r="P162"/>
      <c r="Q162"/>
      <c r="R162"/>
      <c r="S162"/>
      <c r="T162"/>
      <c r="U162"/>
      <c r="V162"/>
      <c r="W162"/>
      <c r="X162"/>
      <c r="Y162" s="12"/>
      <c r="Z162" s="12"/>
      <c r="AA162" s="12"/>
      <c r="AB162" s="12"/>
      <c r="AC162" s="12"/>
      <c r="AD162" s="12"/>
      <c r="AE162" s="12"/>
      <c r="AF162" s="12"/>
      <c r="AG162" s="12"/>
      <c r="AH162" s="12"/>
      <c r="AI162" s="12"/>
    </row>
    <row r="163" spans="1:35" s="10" customFormat="1" x14ac:dyDescent="0.25">
      <c r="A163" s="12"/>
      <c r="B163" s="12"/>
      <c r="C163" s="12"/>
      <c r="D163"/>
      <c r="E163"/>
      <c r="F163"/>
      <c r="G163"/>
      <c r="H163"/>
      <c r="I163"/>
      <c r="J163"/>
      <c r="K163"/>
      <c r="L163"/>
      <c r="M163"/>
      <c r="N163"/>
      <c r="O163"/>
      <c r="P163"/>
      <c r="Q163"/>
      <c r="R163"/>
      <c r="S163"/>
      <c r="T163"/>
      <c r="U163"/>
      <c r="V163"/>
      <c r="W163"/>
      <c r="X163"/>
      <c r="Y163" s="12"/>
      <c r="Z163" s="12"/>
      <c r="AA163" s="12"/>
      <c r="AB163" s="12"/>
      <c r="AC163" s="12"/>
      <c r="AD163" s="12"/>
      <c r="AE163" s="12"/>
      <c r="AF163" s="12"/>
      <c r="AG163" s="12"/>
      <c r="AH163" s="12"/>
      <c r="AI163" s="12"/>
    </row>
    <row r="164" spans="1:35" s="10" customFormat="1" x14ac:dyDescent="0.25">
      <c r="A164" s="12"/>
      <c r="B164" s="12"/>
      <c r="C164" s="12"/>
      <c r="D164"/>
      <c r="E164"/>
      <c r="F164"/>
      <c r="G164"/>
      <c r="H164"/>
      <c r="I164"/>
      <c r="J164"/>
      <c r="K164"/>
      <c r="L164"/>
      <c r="M164"/>
      <c r="N164"/>
      <c r="O164"/>
      <c r="P164"/>
      <c r="Q164"/>
      <c r="R164"/>
      <c r="S164"/>
      <c r="T164"/>
      <c r="U164"/>
      <c r="V164"/>
      <c r="W164"/>
      <c r="X164"/>
      <c r="Y164" s="12"/>
      <c r="Z164" s="12"/>
      <c r="AA164" s="12"/>
      <c r="AB164" s="12"/>
      <c r="AC164" s="12"/>
      <c r="AD164" s="12"/>
      <c r="AE164" s="12"/>
      <c r="AF164" s="12"/>
      <c r="AG164" s="12"/>
      <c r="AH164" s="12"/>
      <c r="AI164" s="12"/>
    </row>
    <row r="165" spans="1:35" s="10" customFormat="1" x14ac:dyDescent="0.25">
      <c r="A165" s="12"/>
      <c r="B165" s="12"/>
      <c r="C165" s="12"/>
      <c r="D165"/>
      <c r="E165"/>
      <c r="F165"/>
      <c r="G165"/>
      <c r="H165"/>
      <c r="I165"/>
      <c r="J165"/>
      <c r="K165"/>
      <c r="L165"/>
      <c r="M165"/>
      <c r="N165"/>
      <c r="O165"/>
      <c r="P165"/>
      <c r="Q165"/>
      <c r="R165"/>
      <c r="S165"/>
      <c r="T165"/>
      <c r="U165"/>
      <c r="V165"/>
      <c r="W165"/>
      <c r="X165"/>
      <c r="Y165" s="12"/>
      <c r="Z165" s="12"/>
      <c r="AA165" s="12"/>
      <c r="AB165" s="12"/>
      <c r="AC165" s="12"/>
      <c r="AD165" s="12"/>
      <c r="AE165" s="12"/>
      <c r="AF165" s="12"/>
      <c r="AG165" s="12"/>
      <c r="AH165" s="12"/>
      <c r="AI165" s="12"/>
    </row>
    <row r="166" spans="1:35" s="10" customFormat="1" x14ac:dyDescent="0.25">
      <c r="A166" s="12"/>
      <c r="B166" s="12"/>
      <c r="C166" s="12"/>
      <c r="D166"/>
      <c r="E166"/>
      <c r="F166"/>
      <c r="G166"/>
      <c r="H166"/>
      <c r="I166"/>
      <c r="J166"/>
      <c r="K166"/>
      <c r="L166"/>
      <c r="M166"/>
      <c r="N166"/>
      <c r="O166"/>
      <c r="P166"/>
      <c r="Q166"/>
      <c r="R166"/>
      <c r="S166"/>
      <c r="T166"/>
      <c r="U166"/>
      <c r="V166"/>
      <c r="W166"/>
      <c r="X166"/>
      <c r="Y166" s="12"/>
      <c r="Z166" s="12"/>
      <c r="AA166" s="12"/>
      <c r="AB166" s="12"/>
      <c r="AC166" s="12"/>
      <c r="AD166" s="12"/>
      <c r="AE166" s="12"/>
      <c r="AF166" s="12"/>
      <c r="AG166" s="12"/>
      <c r="AH166" s="12"/>
      <c r="AI166" s="12"/>
    </row>
    <row r="167" spans="1:35" s="10" customFormat="1" x14ac:dyDescent="0.25">
      <c r="A167" s="12"/>
      <c r="B167" s="12"/>
      <c r="C167" s="12"/>
      <c r="D167"/>
      <c r="E167"/>
      <c r="F167"/>
      <c r="G167"/>
      <c r="H167"/>
      <c r="I167"/>
      <c r="J167"/>
      <c r="K167"/>
      <c r="L167"/>
      <c r="M167"/>
      <c r="N167"/>
      <c r="O167"/>
      <c r="P167"/>
      <c r="Q167"/>
      <c r="R167"/>
      <c r="S167"/>
      <c r="T167"/>
      <c r="U167"/>
      <c r="V167"/>
      <c r="W167"/>
      <c r="X167"/>
      <c r="Y167" s="12"/>
      <c r="Z167" s="12"/>
      <c r="AA167" s="12"/>
      <c r="AB167" s="12"/>
      <c r="AC167" s="12"/>
      <c r="AD167" s="12"/>
      <c r="AE167" s="12"/>
      <c r="AF167" s="12"/>
      <c r="AG167" s="12"/>
      <c r="AH167" s="12"/>
      <c r="AI167" s="12"/>
    </row>
    <row r="168" spans="1:35" s="10" customFormat="1" x14ac:dyDescent="0.25">
      <c r="A168" s="12"/>
      <c r="B168" s="12"/>
      <c r="C168" s="12"/>
      <c r="D168"/>
      <c r="E168"/>
      <c r="F168"/>
      <c r="G168"/>
      <c r="H168"/>
      <c r="I168"/>
      <c r="J168"/>
      <c r="K168"/>
      <c r="L168"/>
      <c r="M168"/>
      <c r="N168"/>
      <c r="O168"/>
      <c r="P168"/>
      <c r="Q168"/>
      <c r="R168"/>
      <c r="S168"/>
      <c r="T168"/>
      <c r="U168"/>
      <c r="V168"/>
      <c r="W168"/>
      <c r="X168"/>
      <c r="Y168" s="12"/>
      <c r="Z168" s="12"/>
      <c r="AA168" s="12"/>
      <c r="AB168" s="12"/>
      <c r="AC168" s="12"/>
      <c r="AD168" s="12"/>
      <c r="AE168" s="12"/>
      <c r="AF168" s="12"/>
      <c r="AG168" s="12"/>
      <c r="AH168" s="12"/>
      <c r="AI168" s="12"/>
    </row>
    <row r="169" spans="1:35" s="10" customFormat="1" x14ac:dyDescent="0.25">
      <c r="A169" s="12"/>
      <c r="B169" s="12"/>
      <c r="C169" s="12"/>
      <c r="D169"/>
      <c r="E169"/>
      <c r="F169"/>
      <c r="G169"/>
      <c r="H169"/>
      <c r="I169"/>
      <c r="J169"/>
      <c r="K169"/>
      <c r="L169"/>
      <c r="M169"/>
      <c r="N169"/>
      <c r="O169"/>
      <c r="P169"/>
      <c r="Q169"/>
      <c r="R169"/>
      <c r="S169"/>
      <c r="T169"/>
      <c r="U169"/>
      <c r="V169"/>
      <c r="W169"/>
      <c r="X169"/>
      <c r="Y169" s="12"/>
      <c r="Z169" s="12"/>
      <c r="AA169" s="12"/>
      <c r="AB169" s="12"/>
      <c r="AC169" s="12"/>
      <c r="AD169" s="12"/>
      <c r="AE169" s="12"/>
      <c r="AF169" s="12"/>
      <c r="AG169" s="12"/>
      <c r="AH169" s="12"/>
      <c r="AI169" s="12"/>
    </row>
    <row r="170" spans="1:35" s="10" customFormat="1" x14ac:dyDescent="0.25">
      <c r="A170" s="12"/>
      <c r="B170" s="12"/>
      <c r="C170" s="12"/>
      <c r="D170"/>
      <c r="E170"/>
      <c r="F170"/>
      <c r="G170"/>
      <c r="H170"/>
      <c r="I170"/>
      <c r="J170"/>
      <c r="K170"/>
      <c r="L170"/>
      <c r="M170"/>
      <c r="N170"/>
      <c r="O170"/>
      <c r="P170"/>
      <c r="Q170"/>
      <c r="R170"/>
      <c r="S170"/>
      <c r="T170"/>
      <c r="U170"/>
      <c r="V170"/>
      <c r="W170"/>
      <c r="X170"/>
      <c r="Y170" s="12"/>
      <c r="Z170" s="12"/>
      <c r="AA170" s="12"/>
      <c r="AB170" s="12"/>
      <c r="AC170" s="12"/>
      <c r="AD170" s="12"/>
      <c r="AE170" s="12"/>
      <c r="AF170" s="12"/>
      <c r="AG170" s="12"/>
      <c r="AH170" s="12"/>
      <c r="AI170" s="12"/>
    </row>
    <row r="171" spans="1:35" s="10" customFormat="1" x14ac:dyDescent="0.25">
      <c r="A171" s="12"/>
      <c r="B171" s="12"/>
      <c r="C171" s="12"/>
      <c r="D171"/>
      <c r="E171"/>
      <c r="F171"/>
      <c r="G171"/>
      <c r="H171"/>
      <c r="I171"/>
      <c r="J171"/>
      <c r="K171"/>
      <c r="L171"/>
      <c r="M171"/>
      <c r="N171"/>
      <c r="O171"/>
      <c r="P171"/>
      <c r="Q171"/>
      <c r="R171"/>
      <c r="S171"/>
      <c r="T171"/>
      <c r="U171"/>
      <c r="V171"/>
      <c r="W171"/>
      <c r="X171"/>
      <c r="Y171" s="12"/>
      <c r="Z171" s="12"/>
      <c r="AA171" s="12"/>
      <c r="AB171" s="12"/>
      <c r="AC171" s="12"/>
      <c r="AD171" s="12"/>
      <c r="AE171" s="12"/>
      <c r="AF171" s="12"/>
      <c r="AG171" s="12"/>
      <c r="AH171" s="12"/>
      <c r="AI171" s="12"/>
    </row>
    <row r="172" spans="1:35" s="10" customFormat="1" x14ac:dyDescent="0.25">
      <c r="A172" s="12"/>
      <c r="B172" s="12"/>
      <c r="C172" s="12"/>
      <c r="D172"/>
      <c r="E172"/>
      <c r="F172"/>
      <c r="G172"/>
      <c r="H172"/>
      <c r="I172"/>
      <c r="J172"/>
      <c r="K172"/>
      <c r="L172"/>
      <c r="M172"/>
      <c r="N172"/>
      <c r="O172"/>
      <c r="P172"/>
      <c r="Q172"/>
      <c r="R172"/>
      <c r="S172"/>
      <c r="T172"/>
      <c r="U172"/>
      <c r="V172"/>
      <c r="W172"/>
      <c r="X172"/>
      <c r="Y172" s="12"/>
      <c r="Z172" s="12"/>
      <c r="AA172" s="12"/>
      <c r="AB172" s="12"/>
      <c r="AC172" s="12"/>
      <c r="AD172" s="12"/>
      <c r="AE172" s="12"/>
      <c r="AF172" s="12"/>
      <c r="AG172" s="12"/>
      <c r="AH172" s="12"/>
      <c r="AI172" s="12"/>
    </row>
    <row r="173" spans="1:35" s="10" customFormat="1" x14ac:dyDescent="0.25">
      <c r="A173" s="12"/>
      <c r="B173" s="12"/>
      <c r="C173" s="12"/>
      <c r="D173"/>
      <c r="E173"/>
      <c r="F173"/>
      <c r="G173"/>
      <c r="H173"/>
      <c r="I173"/>
      <c r="J173"/>
      <c r="K173"/>
      <c r="L173"/>
      <c r="M173"/>
      <c r="N173"/>
      <c r="O173"/>
      <c r="P173"/>
      <c r="Q173"/>
      <c r="R173"/>
      <c r="S173"/>
      <c r="T173"/>
      <c r="U173"/>
      <c r="V173"/>
      <c r="W173"/>
      <c r="X173"/>
      <c r="Y173" s="12"/>
      <c r="Z173" s="12"/>
      <c r="AA173" s="12"/>
      <c r="AB173" s="12"/>
      <c r="AC173" s="12"/>
      <c r="AD173" s="12"/>
      <c r="AE173" s="12"/>
      <c r="AF173" s="12"/>
      <c r="AG173" s="12"/>
      <c r="AH173" s="12"/>
      <c r="AI173" s="12"/>
    </row>
    <row r="174" spans="1:35" s="10" customFormat="1" x14ac:dyDescent="0.25">
      <c r="A174" s="12"/>
      <c r="B174" s="12"/>
      <c r="C174" s="12"/>
      <c r="D174"/>
      <c r="E174" s="24"/>
      <c r="F174" s="23"/>
      <c r="G174" s="22"/>
      <c r="H174" s="22"/>
      <c r="I174" s="22"/>
      <c r="J174" s="22"/>
      <c r="K174" s="22"/>
      <c r="L174" s="22"/>
      <c r="M174" s="21"/>
      <c r="N174" s="22"/>
      <c r="O174" s="22"/>
      <c r="P174" s="22"/>
      <c r="Q174" s="22"/>
      <c r="R174" s="22"/>
      <c r="S174" s="22"/>
      <c r="T174" s="19"/>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4"/>
      <c r="N175" s="22"/>
      <c r="O175" s="22"/>
      <c r="P175" s="22"/>
      <c r="Q175" s="22"/>
      <c r="R175" s="28"/>
      <c r="S175" s="22"/>
      <c r="T175" s="24"/>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19"/>
      <c r="F176" s="23"/>
      <c r="G176" s="22"/>
      <c r="H176" s="22"/>
      <c r="I176" s="22"/>
      <c r="J176" s="22"/>
      <c r="K176" s="22"/>
      <c r="L176" s="23"/>
      <c r="M176" s="24"/>
      <c r="N176" s="22"/>
      <c r="O176" s="22"/>
      <c r="P176" s="22"/>
      <c r="Q176" s="22"/>
      <c r="R176" s="28"/>
      <c r="S176" s="22"/>
      <c r="T176" s="24"/>
      <c r="U176"/>
      <c r="V176"/>
      <c r="W176"/>
      <c r="X176"/>
      <c r="Y176"/>
      <c r="Z176" s="12"/>
      <c r="AA176" s="12"/>
      <c r="AB176" s="12"/>
      <c r="AC176" s="12"/>
      <c r="AD176" s="12"/>
      <c r="AE176" s="12"/>
      <c r="AF176" s="12"/>
      <c r="AG176" s="12"/>
      <c r="AH176" s="12"/>
      <c r="AI176" s="12"/>
    </row>
    <row r="177" spans="1:35" s="10" customFormat="1" x14ac:dyDescent="0.25">
      <c r="A177" s="12"/>
      <c r="B177" s="12"/>
      <c r="C177" s="12"/>
      <c r="D177"/>
      <c r="E177" s="19"/>
      <c r="F177" s="23"/>
      <c r="G177" s="22"/>
      <c r="H177" s="22"/>
      <c r="I177" s="22"/>
      <c r="J177" s="22"/>
      <c r="K177" s="22"/>
      <c r="L177" s="23"/>
      <c r="M177" s="24"/>
      <c r="N177" s="22"/>
      <c r="O177" s="22"/>
      <c r="P177" s="22"/>
      <c r="Q177" s="22"/>
      <c r="R177" s="28"/>
      <c r="S177" s="22"/>
      <c r="T177" s="24"/>
      <c r="U177"/>
      <c r="V177"/>
      <c r="W177"/>
      <c r="X177"/>
      <c r="Y177"/>
      <c r="Z177" s="12"/>
      <c r="AA177" s="12"/>
      <c r="AB177" s="12"/>
      <c r="AC177" s="12"/>
      <c r="AD177" s="12"/>
      <c r="AE177" s="12"/>
      <c r="AF177" s="12"/>
      <c r="AG177" s="12"/>
      <c r="AH177" s="12"/>
      <c r="AI177" s="12"/>
    </row>
    <row r="178" spans="1:35" s="10" customFormat="1" x14ac:dyDescent="0.25">
      <c r="A178" s="12"/>
      <c r="B178" s="12"/>
      <c r="C178" s="12"/>
      <c r="D178"/>
      <c r="E178" s="19"/>
      <c r="F178" s="23"/>
      <c r="G178" s="22"/>
      <c r="H178" s="25"/>
      <c r="I178" s="22"/>
      <c r="J178" s="22"/>
      <c r="K178" s="22"/>
      <c r="L178" s="23"/>
      <c r="M178" s="24"/>
      <c r="N178" s="22"/>
      <c r="O178" s="22"/>
      <c r="P178" s="22"/>
      <c r="Q178" s="22"/>
      <c r="R178" s="28"/>
      <c r="S178" s="22"/>
      <c r="T178" s="24"/>
      <c r="U178"/>
      <c r="V178"/>
      <c r="W178"/>
      <c r="X178"/>
      <c r="Y178"/>
      <c r="Z178" s="12"/>
      <c r="AA178" s="12"/>
      <c r="AB178" s="12"/>
      <c r="AC178" s="12"/>
      <c r="AD178" s="12"/>
      <c r="AE178" s="12"/>
      <c r="AF178" s="12"/>
      <c r="AG178" s="12"/>
      <c r="AH178" s="12"/>
      <c r="AI178" s="12"/>
    </row>
    <row r="179" spans="1:35" s="10" customFormat="1" x14ac:dyDescent="0.25">
      <c r="A179" s="12"/>
      <c r="B179" s="12"/>
      <c r="C179" s="12"/>
      <c r="D179"/>
      <c r="E179" s="19"/>
      <c r="F179" s="23"/>
      <c r="G179" s="22"/>
      <c r="H179" s="22"/>
      <c r="I179" s="22"/>
      <c r="J179" s="22"/>
      <c r="K179" s="22"/>
      <c r="L179" s="23"/>
      <c r="M179" s="24"/>
      <c r="N179" s="22"/>
      <c r="O179" s="22"/>
      <c r="P179" s="22"/>
      <c r="Q179" s="22"/>
      <c r="R179" s="28"/>
      <c r="S179" s="22"/>
      <c r="T179" s="24"/>
      <c r="U179"/>
      <c r="V179"/>
      <c r="W179"/>
      <c r="X179"/>
      <c r="Y179"/>
      <c r="Z179" s="12"/>
      <c r="AA179" s="12"/>
      <c r="AB179" s="12"/>
      <c r="AC179" s="12"/>
      <c r="AD179" s="12"/>
      <c r="AE179" s="12"/>
      <c r="AF179" s="12"/>
      <c r="AG179" s="12"/>
      <c r="AH179" s="12"/>
      <c r="AI179" s="12"/>
    </row>
    <row r="180" spans="1:35" s="10" customFormat="1" x14ac:dyDescent="0.25">
      <c r="A180" s="12"/>
      <c r="B180" s="12"/>
      <c r="C180" s="12"/>
      <c r="D180"/>
      <c r="E180" s="19"/>
      <c r="F180" s="23"/>
      <c r="G180" s="22"/>
      <c r="H180" s="22"/>
      <c r="I180" s="22"/>
      <c r="J180" s="22"/>
      <c r="K180" s="22"/>
      <c r="L180" s="23"/>
      <c r="M180" s="24"/>
      <c r="N180" s="22"/>
      <c r="O180" s="22"/>
      <c r="P180" s="22"/>
      <c r="Q180" s="22"/>
      <c r="R180" s="28"/>
      <c r="S180" s="22"/>
      <c r="T180" s="24"/>
      <c r="U180"/>
      <c r="V180"/>
      <c r="W180"/>
      <c r="X180"/>
      <c r="Y180"/>
      <c r="Z180" s="12"/>
      <c r="AA180" s="12"/>
      <c r="AB180" s="12"/>
      <c r="AC180" s="12"/>
      <c r="AD180" s="12"/>
      <c r="AE180" s="12"/>
      <c r="AF180" s="12"/>
      <c r="AG180" s="12"/>
      <c r="AH180" s="12"/>
      <c r="AI180" s="12"/>
    </row>
    <row r="181" spans="1:35" s="10" customFormat="1" x14ac:dyDescent="0.25">
      <c r="A181" s="12"/>
      <c r="B181" s="12"/>
      <c r="C181" s="12"/>
      <c r="D181"/>
      <c r="E181" s="22"/>
      <c r="F181" s="23"/>
      <c r="G181" s="22"/>
      <c r="H181" s="22"/>
      <c r="I181" s="22"/>
      <c r="J181" s="22"/>
      <c r="K181" s="22"/>
      <c r="L181" s="23"/>
      <c r="M181" s="24"/>
      <c r="N181" s="22"/>
      <c r="O181" s="22"/>
      <c r="P181" s="22"/>
      <c r="Q181" s="22"/>
      <c r="R181" s="28"/>
      <c r="S181" s="22"/>
      <c r="T181" s="24"/>
      <c r="U181"/>
      <c r="V181"/>
      <c r="W181"/>
      <c r="X181"/>
      <c r="Y181"/>
      <c r="Z181" s="12"/>
      <c r="AA181" s="12"/>
      <c r="AB181" s="12"/>
      <c r="AC181" s="12"/>
      <c r="AD181" s="12"/>
      <c r="AE181" s="12"/>
      <c r="AF181" s="12"/>
      <c r="AG181" s="12"/>
      <c r="AH181" s="12"/>
      <c r="AI181" s="12"/>
    </row>
    <row r="182" spans="1:35" s="10" customFormat="1" x14ac:dyDescent="0.25">
      <c r="A182" s="12"/>
      <c r="B182" s="12"/>
      <c r="C182" s="12"/>
      <c r="D182"/>
      <c r="E182" s="22"/>
      <c r="F182" s="23"/>
      <c r="G182" s="22"/>
      <c r="H182" s="22"/>
      <c r="I182" s="22"/>
      <c r="J182" s="22"/>
      <c r="K182" s="22"/>
      <c r="L182" s="23"/>
      <c r="M182" s="24"/>
      <c r="N182" s="22"/>
      <c r="O182" s="22"/>
      <c r="P182" s="22"/>
      <c r="Q182" s="22"/>
      <c r="R182" s="28"/>
      <c r="S182" s="22"/>
      <c r="T182" s="24"/>
      <c r="U182"/>
      <c r="V182"/>
      <c r="W182"/>
      <c r="X182"/>
      <c r="Y182"/>
      <c r="Z182" s="12"/>
      <c r="AA182" s="12"/>
      <c r="AB182" s="12"/>
      <c r="AC182" s="12"/>
      <c r="AD182" s="12"/>
      <c r="AE182" s="12"/>
      <c r="AF182" s="12"/>
      <c r="AG182" s="12"/>
      <c r="AH182" s="12"/>
      <c r="AI182" s="12"/>
    </row>
    <row r="183" spans="1:35" s="10" customFormat="1" x14ac:dyDescent="0.25">
      <c r="A183" s="12"/>
      <c r="B183" s="12"/>
      <c r="C183" s="12"/>
      <c r="D183"/>
      <c r="E183" s="22"/>
      <c r="F183" s="23"/>
      <c r="G183" s="22"/>
      <c r="H183" s="22"/>
      <c r="I183" s="22"/>
      <c r="J183" s="22"/>
      <c r="K183" s="22"/>
      <c r="L183" s="23"/>
      <c r="M183" s="24"/>
      <c r="N183" s="22"/>
      <c r="O183" s="22"/>
      <c r="P183" s="22"/>
      <c r="Q183" s="22"/>
      <c r="R183" s="28"/>
      <c r="S183" s="22"/>
      <c r="T183" s="24"/>
      <c r="U183"/>
      <c r="V183"/>
      <c r="W183"/>
      <c r="X183"/>
      <c r="Y183"/>
      <c r="Z183" s="12"/>
      <c r="AA183" s="12"/>
      <c r="AB183" s="12"/>
      <c r="AC183" s="12"/>
      <c r="AD183" s="12"/>
      <c r="AE183" s="12"/>
      <c r="AF183" s="12"/>
      <c r="AG183" s="12"/>
      <c r="AH183" s="12"/>
      <c r="AI183" s="12"/>
    </row>
    <row r="184" spans="1:35" s="10" customFormat="1" x14ac:dyDescent="0.25">
      <c r="A184" s="12"/>
      <c r="B184" s="12"/>
      <c r="C184" s="12"/>
      <c r="D184"/>
      <c r="E184" s="24"/>
      <c r="F184" s="23"/>
      <c r="G184" s="23"/>
      <c r="H184" s="23"/>
      <c r="I184" s="22"/>
      <c r="J184" s="22"/>
      <c r="K184" s="22"/>
      <c r="L184" s="22"/>
      <c r="M184" s="24"/>
      <c r="N184" s="22"/>
      <c r="O184" s="22"/>
      <c r="P184" s="22"/>
      <c r="Q184" s="22"/>
      <c r="R184" s="28"/>
      <c r="S184" s="22"/>
      <c r="T184" s="24"/>
      <c r="U184"/>
      <c r="V184"/>
      <c r="W184"/>
      <c r="X184"/>
      <c r="Y184"/>
      <c r="Z184" s="12"/>
      <c r="AA184" s="12"/>
      <c r="AB184" s="12"/>
      <c r="AC184" s="12"/>
      <c r="AD184" s="12"/>
      <c r="AE184" s="12"/>
      <c r="AF184" s="12"/>
      <c r="AG184" s="12"/>
      <c r="AH184" s="12"/>
      <c r="AI184" s="12"/>
    </row>
    <row r="185" spans="1:35" s="10" customFormat="1" x14ac:dyDescent="0.25">
      <c r="A185" s="12"/>
      <c r="B185" s="12"/>
      <c r="C185" s="12"/>
      <c r="D185"/>
      <c r="E185" s="24"/>
      <c r="F185" s="23"/>
      <c r="G185" s="23"/>
      <c r="H185" s="23"/>
      <c r="I185" s="22"/>
      <c r="J185" s="22"/>
      <c r="K185" s="22"/>
      <c r="L185" s="22"/>
      <c r="M185" s="24"/>
      <c r="N185" s="22"/>
      <c r="O185" s="22"/>
      <c r="P185" s="22"/>
      <c r="Q185" s="23"/>
      <c r="R185" s="23"/>
      <c r="S185" s="22"/>
      <c r="T185" s="24"/>
      <c r="U185"/>
      <c r="V185"/>
      <c r="W185"/>
      <c r="X185"/>
      <c r="Y185"/>
      <c r="Z185" s="12"/>
      <c r="AA185" s="12"/>
      <c r="AB185" s="12"/>
      <c r="AC185" s="12"/>
      <c r="AD185" s="12"/>
      <c r="AE185" s="12"/>
      <c r="AF185" s="12"/>
      <c r="AG185" s="12"/>
      <c r="AH185" s="12"/>
      <c r="AI185" s="12"/>
    </row>
    <row r="186" spans="1:35" s="10" customFormat="1" x14ac:dyDescent="0.25">
      <c r="A186" s="12"/>
      <c r="B186" s="12"/>
      <c r="C186" s="12"/>
      <c r="D186"/>
      <c r="E186" s="24"/>
      <c r="F186" s="23"/>
      <c r="G186" s="23"/>
      <c r="H186" s="23"/>
      <c r="I186" s="22"/>
      <c r="J186" s="22"/>
      <c r="K186" s="22"/>
      <c r="L186" s="22"/>
      <c r="M186" s="24"/>
      <c r="N186" s="22"/>
      <c r="O186" s="22"/>
      <c r="P186" s="22"/>
      <c r="Q186" s="23"/>
      <c r="R186" s="23"/>
      <c r="S186" s="22"/>
      <c r="T186" s="24"/>
      <c r="U186"/>
      <c r="V186"/>
      <c r="W186"/>
      <c r="X186"/>
      <c r="Y186"/>
      <c r="Z186" s="12"/>
      <c r="AA186" s="12"/>
      <c r="AB186" s="12"/>
      <c r="AC186" s="12"/>
      <c r="AD186" s="12"/>
      <c r="AE186" s="12"/>
      <c r="AF186" s="12"/>
      <c r="AG186" s="12"/>
      <c r="AH186" s="12"/>
      <c r="AI186" s="12"/>
    </row>
    <row r="187" spans="1:35" s="10" customFormat="1" x14ac:dyDescent="0.25">
      <c r="A187" s="12"/>
      <c r="B187" s="12"/>
      <c r="C187" s="12"/>
      <c r="D187"/>
      <c r="E187" s="24"/>
      <c r="F187" s="23"/>
      <c r="G187" s="23"/>
      <c r="H187" s="26"/>
      <c r="I187" s="22"/>
      <c r="J187" s="22"/>
      <c r="K187" s="22"/>
      <c r="L187" s="22"/>
      <c r="M187" s="24"/>
      <c r="N187" s="22"/>
      <c r="O187" s="22"/>
      <c r="P187" s="22"/>
      <c r="Q187" s="23"/>
      <c r="R187" s="23"/>
      <c r="S187" s="22"/>
      <c r="T187" s="24"/>
      <c r="U187"/>
      <c r="V187"/>
      <c r="W187"/>
      <c r="X187"/>
      <c r="Y187"/>
      <c r="Z187" s="12"/>
      <c r="AA187" s="12"/>
      <c r="AB187" s="12"/>
      <c r="AC187" s="12"/>
      <c r="AD187" s="12"/>
      <c r="AE187" s="12"/>
      <c r="AF187" s="12"/>
      <c r="AG187" s="12"/>
      <c r="AH187" s="12"/>
      <c r="AI187" s="12"/>
    </row>
    <row r="188" spans="1:35" s="10" customFormat="1" x14ac:dyDescent="0.25">
      <c r="A188" s="12"/>
      <c r="B188" s="12"/>
      <c r="C188" s="12"/>
      <c r="D188"/>
      <c r="E188" s="24"/>
      <c r="F188" s="23"/>
      <c r="G188" s="23"/>
      <c r="H188" s="26"/>
      <c r="I188" s="22"/>
      <c r="J188" s="22"/>
      <c r="K188" s="22"/>
      <c r="L188" s="22"/>
      <c r="M188" s="24"/>
      <c r="N188" s="22"/>
      <c r="O188" s="22"/>
      <c r="P188" s="22"/>
      <c r="Q188" s="23"/>
      <c r="R188" s="23"/>
      <c r="S188" s="22"/>
      <c r="T188" s="24"/>
      <c r="U188"/>
      <c r="V188"/>
      <c r="W188"/>
      <c r="X188"/>
      <c r="Y188"/>
      <c r="Z188" s="12"/>
      <c r="AA188" s="12"/>
      <c r="AB188" s="12"/>
      <c r="AC188" s="12"/>
      <c r="AD188" s="12"/>
      <c r="AE188" s="12"/>
      <c r="AF188" s="12"/>
      <c r="AG188" s="12"/>
      <c r="AH188" s="12"/>
      <c r="AI188" s="12"/>
    </row>
    <row r="189" spans="1:35" s="10" customFormat="1" x14ac:dyDescent="0.25">
      <c r="A189" s="12"/>
      <c r="B189" s="12"/>
      <c r="C189" s="12"/>
      <c r="D189"/>
      <c r="E189" s="24"/>
      <c r="F189" s="23"/>
      <c r="G189" s="23"/>
      <c r="H189" s="26"/>
      <c r="I189" s="22"/>
      <c r="J189" s="22"/>
      <c r="K189" s="22"/>
      <c r="L189" s="22"/>
      <c r="M189" s="24"/>
      <c r="N189" s="22"/>
      <c r="O189" s="22"/>
      <c r="P189" s="22"/>
      <c r="Q189" s="23"/>
      <c r="R189" s="23"/>
      <c r="S189" s="22"/>
      <c r="T189" s="24"/>
      <c r="U189"/>
      <c r="V189"/>
      <c r="W189"/>
      <c r="X189"/>
      <c r="Y189"/>
      <c r="Z189" s="12"/>
      <c r="AA189" s="12"/>
      <c r="AB189" s="12"/>
      <c r="AC189" s="12"/>
      <c r="AD189" s="12"/>
      <c r="AE189" s="12"/>
      <c r="AF189" s="12"/>
      <c r="AG189" s="12"/>
      <c r="AH189" s="12"/>
      <c r="AI189" s="12"/>
    </row>
    <row r="190" spans="1:35" s="10" customFormat="1" x14ac:dyDescent="0.25">
      <c r="A190" s="12"/>
      <c r="B190" s="12"/>
      <c r="C190" s="12"/>
      <c r="D190"/>
      <c r="E190" s="24"/>
      <c r="F190" s="23"/>
      <c r="G190" s="23"/>
      <c r="H190" s="26"/>
      <c r="I190" s="22"/>
      <c r="J190" s="22"/>
      <c r="K190" s="22"/>
      <c r="L190" s="22"/>
      <c r="M190" s="24"/>
      <c r="N190" s="22"/>
      <c r="O190" s="22"/>
      <c r="P190" s="22"/>
      <c r="Q190" s="23"/>
      <c r="R190" s="23"/>
      <c r="S190" s="22"/>
      <c r="T190" s="24"/>
      <c r="U190"/>
      <c r="V190"/>
      <c r="W190"/>
      <c r="X190"/>
      <c r="Y190"/>
      <c r="Z190" s="12"/>
      <c r="AA190" s="12"/>
      <c r="AB190" s="12"/>
      <c r="AC190" s="12"/>
      <c r="AD190" s="12"/>
      <c r="AE190" s="12"/>
      <c r="AF190" s="12"/>
      <c r="AG190" s="12"/>
      <c r="AH190" s="12"/>
      <c r="AI190" s="12"/>
    </row>
    <row r="191" spans="1:35" s="10" customFormat="1" x14ac:dyDescent="0.25">
      <c r="A191" s="12"/>
      <c r="B191" s="12"/>
      <c r="C191" s="12"/>
      <c r="D191"/>
      <c r="E191" s="24"/>
      <c r="F191" s="23"/>
      <c r="G191" s="23"/>
      <c r="H191" s="26"/>
      <c r="I191" s="22"/>
      <c r="J191" s="22"/>
      <c r="K191" s="22"/>
      <c r="L191" s="22"/>
      <c r="M191" s="24"/>
      <c r="N191" s="22"/>
      <c r="O191" s="22"/>
      <c r="P191" s="22"/>
      <c r="Q191" s="23"/>
      <c r="R191" s="23"/>
      <c r="S191" s="22"/>
      <c r="T191" s="24"/>
      <c r="U191"/>
      <c r="V191"/>
      <c r="W191"/>
      <c r="X191"/>
      <c r="Y191"/>
      <c r="Z191" s="12"/>
      <c r="AA191" s="12"/>
      <c r="AB191" s="12"/>
      <c r="AC191" s="12"/>
      <c r="AD191" s="12"/>
      <c r="AE191" s="12"/>
      <c r="AF191" s="12"/>
      <c r="AG191" s="12"/>
      <c r="AH191" s="12"/>
      <c r="AI191" s="12"/>
    </row>
    <row r="192" spans="1:35" s="10" customFormat="1" x14ac:dyDescent="0.25">
      <c r="A192" s="12"/>
      <c r="B192" s="12"/>
      <c r="C192" s="12"/>
      <c r="D192"/>
      <c r="E192" s="24"/>
      <c r="F192" s="23"/>
      <c r="G192" s="23"/>
      <c r="H192" s="26"/>
      <c r="I192" s="22"/>
      <c r="J192" s="22"/>
      <c r="K192" s="22"/>
      <c r="L192" s="22"/>
      <c r="M192" s="24"/>
      <c r="N192" s="22"/>
      <c r="O192" s="22"/>
      <c r="P192" s="22"/>
      <c r="Q192" s="23"/>
      <c r="R192" s="23"/>
      <c r="S192" s="22"/>
      <c r="T192" s="24"/>
      <c r="U192"/>
      <c r="V192"/>
      <c r="W192"/>
      <c r="X192"/>
      <c r="Y192"/>
      <c r="Z192" s="12"/>
      <c r="AA192" s="12"/>
      <c r="AB192" s="12"/>
      <c r="AC192" s="12"/>
      <c r="AD192" s="12"/>
      <c r="AE192" s="12"/>
      <c r="AF192" s="12"/>
      <c r="AG192" s="12"/>
      <c r="AH192" s="12"/>
      <c r="AI192" s="12"/>
    </row>
    <row r="193" spans="1:35" s="10" customFormat="1" x14ac:dyDescent="0.25">
      <c r="A193" s="12"/>
      <c r="B193" s="12"/>
      <c r="C193" s="12"/>
      <c r="D193"/>
      <c r="E193" s="24"/>
      <c r="F193" s="23"/>
      <c r="G193" s="23"/>
      <c r="H193" s="26"/>
      <c r="I193" s="22"/>
      <c r="J193" s="22"/>
      <c r="K193" s="22"/>
      <c r="L193" s="22"/>
      <c r="M193" s="24"/>
      <c r="N193" s="22"/>
      <c r="O193" s="22"/>
      <c r="P193" s="22"/>
      <c r="Q193" s="23"/>
      <c r="R193" s="23"/>
      <c r="S193" s="22"/>
      <c r="T193" s="24"/>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1"/>
      <c r="N194" s="22"/>
      <c r="O194" s="22"/>
      <c r="P194" s="22"/>
      <c r="Q194" s="22"/>
      <c r="R194" s="28"/>
      <c r="S194" s="22"/>
      <c r="T194" s="20"/>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24"/>
      <c r="F195" s="23"/>
      <c r="G195" s="22"/>
      <c r="H195" s="22"/>
      <c r="I195" s="22"/>
      <c r="J195" s="22"/>
      <c r="K195" s="22"/>
      <c r="L195" s="22"/>
      <c r="M195" s="21"/>
      <c r="N195" s="22"/>
      <c r="O195" s="22"/>
      <c r="P195" s="22"/>
      <c r="Q195" s="22"/>
      <c r="R195" s="22"/>
      <c r="S195" s="22"/>
      <c r="T195" s="19"/>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24"/>
      <c r="F196" s="23"/>
      <c r="G196" s="23"/>
      <c r="H196" s="26"/>
      <c r="I196" s="22"/>
      <c r="J196" s="22"/>
      <c r="K196" s="22"/>
      <c r="L196" s="22"/>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19"/>
      <c r="F197" s="23"/>
      <c r="G197" s="22"/>
      <c r="H197" s="22"/>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19"/>
      <c r="F199" s="23"/>
      <c r="G199" s="22"/>
      <c r="H199" s="25"/>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19"/>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19"/>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2"/>
      <c r="F203" s="23"/>
      <c r="G203" s="22"/>
      <c r="H203" s="22"/>
      <c r="I203" s="22"/>
      <c r="J203" s="22"/>
      <c r="K203" s="22"/>
      <c r="L203" s="23"/>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2"/>
      <c r="F204" s="23"/>
      <c r="G204" s="22"/>
      <c r="H204" s="22"/>
      <c r="I204" s="22"/>
      <c r="J204" s="22"/>
      <c r="K204" s="22"/>
      <c r="L204" s="23"/>
      <c r="M204" s="24"/>
      <c r="N204" s="22"/>
      <c r="O204" s="22"/>
      <c r="P204" s="22"/>
      <c r="Q204" s="22"/>
      <c r="R204" s="28"/>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3"/>
      <c r="I205" s="22"/>
      <c r="J205" s="22"/>
      <c r="K205" s="22"/>
      <c r="L205" s="22"/>
      <c r="M205" s="24"/>
      <c r="N205" s="22"/>
      <c r="O205" s="22"/>
      <c r="P205" s="22"/>
      <c r="Q205" s="22"/>
      <c r="R205" s="28"/>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3"/>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3"/>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4"/>
      <c r="N213" s="22"/>
      <c r="O213" s="22"/>
      <c r="P213" s="22"/>
      <c r="Q213" s="23"/>
      <c r="R213" s="23"/>
      <c r="S213" s="22"/>
      <c r="T213" s="24"/>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3"/>
      <c r="H214" s="26"/>
      <c r="I214" s="22"/>
      <c r="J214" s="22"/>
      <c r="K214" s="22"/>
      <c r="L214" s="22"/>
      <c r="M214" s="24"/>
      <c r="N214" s="22"/>
      <c r="O214" s="22"/>
      <c r="P214" s="22"/>
      <c r="Q214" s="23"/>
      <c r="R214" s="23"/>
      <c r="S214" s="22"/>
      <c r="T214" s="24"/>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1"/>
      <c r="N215" s="22"/>
      <c r="O215" s="22"/>
      <c r="P215" s="22"/>
      <c r="Q215" s="22"/>
      <c r="R215" s="28"/>
      <c r="S215" s="22"/>
      <c r="T215" s="20"/>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24"/>
      <c r="F216" s="23"/>
      <c r="G216" s="22"/>
      <c r="H216" s="22"/>
      <c r="I216" s="22"/>
      <c r="J216" s="22"/>
      <c r="K216" s="22"/>
      <c r="L216" s="22"/>
      <c r="M216" s="21"/>
      <c r="N216" s="22"/>
      <c r="O216" s="22"/>
      <c r="P216" s="22"/>
      <c r="Q216" s="22"/>
      <c r="R216" s="22"/>
      <c r="S216" s="22"/>
      <c r="T216" s="19"/>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24"/>
      <c r="F217" s="23"/>
      <c r="G217" s="23"/>
      <c r="H217" s="26"/>
      <c r="I217" s="22"/>
      <c r="J217" s="22"/>
      <c r="K217" s="22"/>
      <c r="L217" s="22"/>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19"/>
      <c r="F218" s="23"/>
      <c r="G218" s="22"/>
      <c r="H218" s="22"/>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19"/>
      <c r="F220" s="23"/>
      <c r="G220" s="22"/>
      <c r="H220" s="25"/>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19"/>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19"/>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2"/>
      <c r="F224" s="23"/>
      <c r="G224" s="22"/>
      <c r="H224" s="22"/>
      <c r="I224" s="22"/>
      <c r="J224" s="22"/>
      <c r="K224" s="22"/>
      <c r="L224" s="23"/>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2"/>
      <c r="F225" s="23"/>
      <c r="G225" s="22"/>
      <c r="H225" s="22"/>
      <c r="I225" s="22"/>
      <c r="J225" s="22"/>
      <c r="K225" s="22"/>
      <c r="L225" s="23"/>
      <c r="M225" s="24"/>
      <c r="N225" s="22"/>
      <c r="O225" s="22"/>
      <c r="P225" s="22"/>
      <c r="Q225" s="22"/>
      <c r="R225" s="28"/>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3"/>
      <c r="I226" s="22"/>
      <c r="J226" s="22"/>
      <c r="K226" s="22"/>
      <c r="L226" s="22"/>
      <c r="M226" s="24"/>
      <c r="N226" s="22"/>
      <c r="O226" s="22"/>
      <c r="P226" s="22"/>
      <c r="Q226" s="22"/>
      <c r="R226" s="28"/>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3"/>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3"/>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4"/>
      <c r="N234" s="22"/>
      <c r="O234" s="22"/>
      <c r="P234" s="22"/>
      <c r="Q234" s="23"/>
      <c r="R234" s="23"/>
      <c r="S234" s="22"/>
      <c r="T234" s="24"/>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3"/>
      <c r="H235" s="26"/>
      <c r="I235" s="22"/>
      <c r="J235" s="22"/>
      <c r="K235" s="22"/>
      <c r="L235" s="22"/>
      <c r="M235" s="24"/>
      <c r="N235" s="22"/>
      <c r="O235" s="22"/>
      <c r="P235" s="22"/>
      <c r="Q235" s="23"/>
      <c r="R235" s="23"/>
      <c r="S235" s="22"/>
      <c r="T235" s="24"/>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1"/>
      <c r="N236" s="22"/>
      <c r="O236" s="22"/>
      <c r="P236" s="22"/>
      <c r="Q236" s="22"/>
      <c r="R236" s="28"/>
      <c r="S236" s="22"/>
      <c r="T236" s="20"/>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24"/>
      <c r="F237" s="23"/>
      <c r="G237" s="22"/>
      <c r="H237" s="22"/>
      <c r="I237" s="22"/>
      <c r="J237" s="22"/>
      <c r="K237" s="22"/>
      <c r="L237" s="22"/>
      <c r="M237" s="21"/>
      <c r="N237" s="22"/>
      <c r="O237" s="22"/>
      <c r="P237" s="22"/>
      <c r="Q237" s="22"/>
      <c r="R237" s="22"/>
      <c r="S237" s="22"/>
      <c r="T237" s="19"/>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24"/>
      <c r="F238" s="23"/>
      <c r="G238" s="23"/>
      <c r="H238" s="26"/>
      <c r="I238" s="22"/>
      <c r="J238" s="22"/>
      <c r="K238" s="22"/>
      <c r="L238" s="22"/>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19"/>
      <c r="F239" s="23"/>
      <c r="G239" s="22"/>
      <c r="H239" s="22"/>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19"/>
      <c r="F241" s="23"/>
      <c r="G241" s="22"/>
      <c r="H241" s="25"/>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19"/>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19"/>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2"/>
      <c r="F245" s="23"/>
      <c r="G245" s="22"/>
      <c r="H245" s="22"/>
      <c r="I245" s="22"/>
      <c r="J245" s="22"/>
      <c r="K245" s="22"/>
      <c r="L245" s="23"/>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2"/>
      <c r="F246" s="23"/>
      <c r="G246" s="22"/>
      <c r="H246" s="22"/>
      <c r="I246" s="22"/>
      <c r="J246" s="22"/>
      <c r="K246" s="22"/>
      <c r="L246" s="23"/>
      <c r="M246" s="24"/>
      <c r="N246" s="22"/>
      <c r="O246" s="22"/>
      <c r="P246" s="22"/>
      <c r="Q246" s="22"/>
      <c r="R246" s="28"/>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3"/>
      <c r="I247" s="22"/>
      <c r="J247" s="22"/>
      <c r="K247" s="22"/>
      <c r="L247" s="22"/>
      <c r="M247" s="24"/>
      <c r="N247" s="22"/>
      <c r="O247" s="22"/>
      <c r="P247" s="22"/>
      <c r="Q247" s="22"/>
      <c r="R247" s="28"/>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3"/>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3"/>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4"/>
      <c r="N255" s="22"/>
      <c r="O255" s="22"/>
      <c r="P255" s="22"/>
      <c r="Q255" s="23"/>
      <c r="R255" s="23"/>
      <c r="S255" s="22"/>
      <c r="T255" s="24"/>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3"/>
      <c r="H256" s="26"/>
      <c r="I256" s="22"/>
      <c r="J256" s="22"/>
      <c r="K256" s="22"/>
      <c r="L256" s="22"/>
      <c r="M256" s="24"/>
      <c r="N256" s="22"/>
      <c r="O256" s="22"/>
      <c r="P256" s="22"/>
      <c r="Q256" s="23"/>
      <c r="R256" s="23"/>
      <c r="S256" s="22"/>
      <c r="T256" s="24"/>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1"/>
      <c r="N257" s="22"/>
      <c r="O257" s="22"/>
      <c r="P257" s="22"/>
      <c r="Q257" s="22"/>
      <c r="R257" s="28"/>
      <c r="S257" s="22"/>
      <c r="T257" s="20"/>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c r="F258"/>
      <c r="G258"/>
      <c r="H258"/>
      <c r="I258"/>
      <c r="J258"/>
      <c r="K258"/>
      <c r="L258"/>
      <c r="M258"/>
      <c r="N258"/>
      <c r="O258"/>
      <c r="P258"/>
      <c r="Q258"/>
      <c r="R258"/>
      <c r="S258"/>
      <c r="T258"/>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c r="F259"/>
      <c r="G259"/>
      <c r="H259"/>
      <c r="I259"/>
      <c r="J259"/>
      <c r="K259"/>
      <c r="L259"/>
      <c r="M259"/>
      <c r="N259"/>
      <c r="O259"/>
      <c r="P259"/>
      <c r="Q259"/>
      <c r="R259"/>
      <c r="S259"/>
      <c r="T259"/>
      <c r="U259"/>
      <c r="V259"/>
      <c r="W259"/>
      <c r="X259"/>
      <c r="Y259" s="12"/>
      <c r="Z259" s="12"/>
      <c r="AA259" s="12"/>
      <c r="AB259" s="12"/>
      <c r="AC259" s="12"/>
      <c r="AD259" s="12"/>
      <c r="AE259" s="12"/>
      <c r="AF259" s="12"/>
      <c r="AG259" s="12"/>
      <c r="AH259" s="12"/>
      <c r="AI259" s="12"/>
    </row>
    <row r="260" spans="1:35" s="10" customFormat="1" x14ac:dyDescent="0.25">
      <c r="A260" s="12"/>
      <c r="B260" s="12"/>
      <c r="C260" s="12"/>
      <c r="D260"/>
      <c r="E260"/>
      <c r="F260"/>
      <c r="G260"/>
      <c r="H260"/>
      <c r="I260"/>
      <c r="J260"/>
      <c r="K260"/>
      <c r="L260"/>
      <c r="M260"/>
      <c r="N260"/>
      <c r="O260"/>
      <c r="P260"/>
      <c r="Q260"/>
      <c r="R260"/>
      <c r="S260"/>
      <c r="T260"/>
      <c r="U260"/>
      <c r="V260"/>
      <c r="W260"/>
      <c r="X260"/>
      <c r="Y260" s="12"/>
      <c r="Z260" s="12"/>
      <c r="AA260" s="12"/>
      <c r="AB260" s="12"/>
      <c r="AC260" s="12"/>
      <c r="AD260" s="12"/>
      <c r="AE260" s="12"/>
      <c r="AF260" s="12"/>
      <c r="AG260" s="12"/>
      <c r="AH260" s="12"/>
      <c r="AI260" s="12"/>
    </row>
    <row r="261" spans="1:35" s="10" customFormat="1" x14ac:dyDescent="0.25">
      <c r="A261" s="12"/>
      <c r="B261" s="12"/>
      <c r="C261" s="12"/>
      <c r="D261"/>
      <c r="E261"/>
      <c r="F261"/>
      <c r="G261"/>
      <c r="H261"/>
      <c r="I261"/>
      <c r="J261"/>
      <c r="K261"/>
      <c r="L261"/>
      <c r="M261"/>
      <c r="N261"/>
      <c r="O261"/>
      <c r="P261"/>
      <c r="Q261"/>
      <c r="R261"/>
      <c r="S261"/>
      <c r="T261"/>
      <c r="U261"/>
      <c r="V261"/>
      <c r="W261"/>
      <c r="X261"/>
      <c r="Y261" s="12"/>
      <c r="Z261" s="12"/>
      <c r="AA261" s="12"/>
      <c r="AB261" s="12"/>
      <c r="AC261" s="12"/>
      <c r="AD261" s="12"/>
      <c r="AE261" s="12"/>
      <c r="AF261" s="12"/>
      <c r="AG261" s="12"/>
      <c r="AH261" s="12"/>
      <c r="AI261" s="12"/>
    </row>
    <row r="262" spans="1:35" s="10" customFormat="1" x14ac:dyDescent="0.25">
      <c r="A262" s="12"/>
      <c r="B262" s="12"/>
      <c r="C262" s="12"/>
      <c r="D262"/>
      <c r="E262"/>
      <c r="F262"/>
      <c r="G262"/>
      <c r="H262"/>
      <c r="I262"/>
      <c r="J262"/>
      <c r="K262"/>
      <c r="L262"/>
      <c r="M262"/>
      <c r="N262"/>
      <c r="O262"/>
      <c r="P262"/>
      <c r="Q262"/>
      <c r="R262"/>
      <c r="S262"/>
      <c r="T262"/>
      <c r="U262"/>
      <c r="V262"/>
      <c r="W262"/>
      <c r="X262"/>
      <c r="Y262" s="12"/>
      <c r="Z262" s="12"/>
      <c r="AA262" s="12"/>
      <c r="AB262" s="12"/>
      <c r="AC262" s="12"/>
      <c r="AD262" s="12"/>
      <c r="AE262" s="12"/>
      <c r="AF262" s="12"/>
      <c r="AG262" s="12"/>
      <c r="AH262" s="12"/>
      <c r="AI262" s="12"/>
    </row>
    <row r="263" spans="1:35" s="10" customFormat="1" x14ac:dyDescent="0.25">
      <c r="A263" s="12"/>
      <c r="B263" s="12"/>
      <c r="C263" s="12"/>
      <c r="D263"/>
      <c r="E263"/>
      <c r="F263"/>
      <c r="G263"/>
      <c r="H263"/>
      <c r="I263"/>
      <c r="J263"/>
      <c r="K263"/>
      <c r="L263"/>
      <c r="M263"/>
      <c r="N263"/>
      <c r="O263"/>
      <c r="P263"/>
      <c r="Q263"/>
      <c r="R263"/>
      <c r="S263"/>
      <c r="T263"/>
      <c r="U263"/>
      <c r="V263"/>
      <c r="W263"/>
      <c r="X263"/>
      <c r="Y263" s="12"/>
      <c r="Z263" s="12"/>
      <c r="AA263" s="12"/>
      <c r="AB263" s="12"/>
      <c r="AC263" s="12"/>
      <c r="AD263" s="12"/>
      <c r="AE263" s="12"/>
      <c r="AF263" s="12"/>
      <c r="AG263" s="12"/>
      <c r="AH263" s="12"/>
      <c r="AI263" s="12"/>
    </row>
    <row r="264" spans="1:35" s="10" customFormat="1" x14ac:dyDescent="0.25">
      <c r="A264" s="12"/>
      <c r="B264" s="12"/>
      <c r="C264" s="12"/>
      <c r="D264"/>
      <c r="E264"/>
      <c r="F264"/>
      <c r="G264"/>
      <c r="H264"/>
      <c r="I264"/>
      <c r="J264"/>
      <c r="K264"/>
      <c r="L264"/>
      <c r="M264"/>
      <c r="N264"/>
      <c r="O264"/>
      <c r="P264"/>
      <c r="Q264"/>
      <c r="R264"/>
      <c r="S264"/>
      <c r="T26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c r="F265"/>
      <c r="G265"/>
      <c r="H265"/>
      <c r="I265"/>
      <c r="J265"/>
      <c r="K265"/>
      <c r="L265"/>
      <c r="M265"/>
      <c r="N265"/>
      <c r="O265"/>
      <c r="P265"/>
      <c r="Q265"/>
      <c r="R265"/>
      <c r="S265"/>
      <c r="T265"/>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c r="F266"/>
      <c r="G266"/>
      <c r="H266"/>
      <c r="I266"/>
      <c r="J266"/>
      <c r="K266"/>
      <c r="L266"/>
      <c r="M266"/>
      <c r="N266"/>
      <c r="O266"/>
      <c r="P266"/>
      <c r="Q266"/>
      <c r="R266"/>
      <c r="S266"/>
      <c r="T266"/>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c r="F267"/>
      <c r="G267"/>
      <c r="H267"/>
      <c r="I267"/>
      <c r="J267"/>
      <c r="K267"/>
      <c r="L267"/>
      <c r="M267"/>
      <c r="N267"/>
      <c r="O267"/>
      <c r="P267"/>
      <c r="Q267"/>
      <c r="R267"/>
      <c r="S267"/>
      <c r="T267"/>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c r="F268"/>
      <c r="G268"/>
      <c r="H268"/>
      <c r="I268"/>
      <c r="J268"/>
      <c r="K268"/>
      <c r="L268"/>
      <c r="M268"/>
      <c r="N268"/>
      <c r="O268"/>
      <c r="P268"/>
      <c r="Q268"/>
      <c r="R268"/>
      <c r="S268"/>
      <c r="T268"/>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c r="F269"/>
      <c r="G269"/>
      <c r="H269"/>
      <c r="I269"/>
      <c r="J269"/>
      <c r="K269"/>
      <c r="L269"/>
      <c r="M269"/>
      <c r="N269"/>
      <c r="O269"/>
      <c r="P269"/>
      <c r="Q269"/>
      <c r="R269"/>
      <c r="S269"/>
      <c r="T269"/>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c r="F270"/>
      <c r="G270"/>
      <c r="H270"/>
      <c r="I270"/>
      <c r="J270"/>
      <c r="K270"/>
      <c r="L270"/>
      <c r="M270"/>
      <c r="N270"/>
      <c r="O270"/>
      <c r="P270"/>
      <c r="Q270"/>
      <c r="R270"/>
      <c r="S270"/>
      <c r="T270"/>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c r="F271"/>
      <c r="G271"/>
      <c r="H271"/>
      <c r="I271"/>
      <c r="J271"/>
      <c r="K271"/>
      <c r="L271"/>
      <c r="M271"/>
      <c r="N271"/>
      <c r="O271"/>
      <c r="P271"/>
      <c r="Q271"/>
      <c r="R271"/>
      <c r="S271"/>
      <c r="T271"/>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c r="F272"/>
      <c r="G272"/>
      <c r="H272"/>
      <c r="I272"/>
      <c r="J272"/>
      <c r="K272"/>
      <c r="L272"/>
      <c r="M272"/>
      <c r="N272"/>
      <c r="O272"/>
      <c r="P272"/>
      <c r="Q272"/>
      <c r="R272"/>
      <c r="S272"/>
      <c r="T272"/>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c r="F273"/>
      <c r="G273"/>
      <c r="H273"/>
      <c r="I273"/>
      <c r="J273"/>
      <c r="K273"/>
      <c r="L273"/>
      <c r="M273"/>
      <c r="N273"/>
      <c r="O273"/>
      <c r="P273"/>
      <c r="Q273"/>
      <c r="R273"/>
      <c r="S273"/>
      <c r="T273"/>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c r="F274"/>
      <c r="G274"/>
      <c r="H274"/>
      <c r="I274"/>
      <c r="J274"/>
      <c r="K274"/>
      <c r="L274"/>
      <c r="M274"/>
      <c r="N274"/>
      <c r="O274"/>
      <c r="P274"/>
      <c r="Q274"/>
      <c r="R274"/>
      <c r="S274"/>
      <c r="T27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c r="F275"/>
      <c r="G275"/>
      <c r="H275"/>
      <c r="I275"/>
      <c r="J275"/>
      <c r="K275"/>
      <c r="L275"/>
      <c r="M275"/>
      <c r="N275"/>
      <c r="O275"/>
      <c r="P275"/>
      <c r="Q275"/>
      <c r="R275"/>
      <c r="S275"/>
      <c r="T275"/>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c r="F276"/>
      <c r="G276"/>
      <c r="H276"/>
      <c r="I276"/>
      <c r="J276"/>
      <c r="K276"/>
      <c r="L276"/>
      <c r="M276"/>
      <c r="N276"/>
      <c r="O276"/>
      <c r="P276"/>
      <c r="Q276"/>
      <c r="R276"/>
      <c r="S276"/>
      <c r="T276"/>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s="3"/>
      <c r="H391" s="3"/>
      <c r="I391" s="3"/>
      <c r="J391" s="3"/>
      <c r="K391"/>
      <c r="L391"/>
      <c r="M391"/>
      <c r="N391" s="3"/>
      <c r="O391" s="3"/>
      <c r="P391" s="3"/>
      <c r="Q391" s="3"/>
      <c r="R391" s="3"/>
      <c r="S391"/>
      <c r="T391"/>
      <c r="U391"/>
      <c r="V391"/>
      <c r="W391" s="12"/>
      <c r="X391" s="12"/>
      <c r="Y391" s="12"/>
      <c r="Z391" s="12"/>
      <c r="AA391" s="12"/>
      <c r="AB391" s="12"/>
      <c r="AC391" s="12"/>
      <c r="AD391" s="12"/>
      <c r="AE391" s="12"/>
      <c r="AF391" s="12"/>
      <c r="AG391" s="12"/>
      <c r="AH391" s="12"/>
      <c r="AI391" s="12"/>
    </row>
    <row r="392" spans="1:35" s="10" customFormat="1" x14ac:dyDescent="0.25">
      <c r="A392" s="12"/>
      <c r="B392" s="12"/>
      <c r="C392" s="12"/>
      <c r="D392"/>
      <c r="E392"/>
      <c r="F392"/>
      <c r="G392" s="3"/>
      <c r="H392" s="3"/>
      <c r="I392" s="3"/>
      <c r="J392" s="3"/>
      <c r="K392"/>
      <c r="L392"/>
      <c r="M392"/>
      <c r="N392" s="3"/>
      <c r="O392" s="3"/>
      <c r="P392" s="3"/>
      <c r="Q392" s="3"/>
      <c r="R392" s="3"/>
      <c r="S392"/>
      <c r="T392"/>
      <c r="U392"/>
      <c r="V392"/>
      <c r="W392" s="12"/>
      <c r="X392" s="12"/>
      <c r="Y392" s="12"/>
      <c r="Z392" s="12"/>
      <c r="AA392" s="12"/>
      <c r="AB392" s="12"/>
      <c r="AC392" s="12"/>
      <c r="AD392" s="12"/>
      <c r="AE392" s="12"/>
      <c r="AF392" s="12"/>
      <c r="AG392" s="12"/>
      <c r="AH392" s="12"/>
      <c r="AI392" s="12"/>
    </row>
    <row r="393" spans="1:35" s="10" customFormat="1" x14ac:dyDescent="0.25">
      <c r="A393" s="12"/>
      <c r="B393" s="12"/>
      <c r="C393" s="12"/>
      <c r="D393"/>
      <c r="E393"/>
      <c r="F393"/>
      <c r="G393" s="3"/>
      <c r="H393" s="3"/>
      <c r="I393" s="3"/>
      <c r="J393" s="3"/>
      <c r="K393"/>
      <c r="L393"/>
      <c r="M393"/>
      <c r="N393" s="3"/>
      <c r="O393" s="3"/>
      <c r="P393" s="3"/>
      <c r="Q393" s="3"/>
      <c r="R393" s="3"/>
      <c r="S393"/>
      <c r="T393"/>
      <c r="U393"/>
      <c r="V393"/>
      <c r="W393" s="12"/>
      <c r="X393" s="12"/>
      <c r="Y393" s="12"/>
      <c r="Z393" s="12"/>
      <c r="AA393" s="12"/>
      <c r="AB393" s="12"/>
      <c r="AC393" s="12"/>
      <c r="AD393" s="12"/>
      <c r="AE393" s="12"/>
      <c r="AF393" s="12"/>
      <c r="AG393" s="12"/>
      <c r="AH393" s="12"/>
      <c r="AI393" s="12"/>
    </row>
    <row r="394" spans="1:35" s="10" customFormat="1" x14ac:dyDescent="0.25">
      <c r="A394" s="12"/>
      <c r="B394" s="12"/>
      <c r="C394" s="12"/>
      <c r="D394"/>
      <c r="E394"/>
      <c r="F394"/>
      <c r="G394" s="3"/>
      <c r="H394" s="3"/>
      <c r="I394" s="3"/>
      <c r="J394" s="3"/>
      <c r="K394"/>
      <c r="L394"/>
      <c r="M394"/>
      <c r="N394" s="3"/>
      <c r="O394" s="3"/>
      <c r="P394" s="3"/>
      <c r="Q394" s="3"/>
      <c r="R394" s="3"/>
      <c r="S394"/>
      <c r="T394"/>
      <c r="U394"/>
      <c r="V394"/>
      <c r="W394" s="12"/>
      <c r="X394" s="12"/>
      <c r="Y394" s="12"/>
      <c r="Z394" s="12"/>
      <c r="AA394" s="12"/>
      <c r="AB394" s="12"/>
      <c r="AC394" s="12"/>
      <c r="AD394" s="12"/>
      <c r="AE394" s="12"/>
      <c r="AF394" s="12"/>
      <c r="AG394" s="12"/>
      <c r="AH394" s="12"/>
      <c r="AI394" s="12"/>
    </row>
    <row r="395" spans="1:35" s="10" customFormat="1" x14ac:dyDescent="0.25">
      <c r="A395" s="12"/>
      <c r="B395" s="12"/>
      <c r="C395" s="12"/>
      <c r="D395"/>
      <c r="E395"/>
      <c r="F395"/>
      <c r="G395" s="3"/>
      <c r="H395" s="3"/>
      <c r="I395" s="3"/>
      <c r="J395" s="3"/>
      <c r="K395"/>
      <c r="L395"/>
      <c r="M395"/>
      <c r="N395" s="3"/>
      <c r="O395" s="3"/>
      <c r="P395" s="3"/>
      <c r="Q395" s="3"/>
      <c r="R395" s="3"/>
      <c r="S395"/>
      <c r="T395"/>
      <c r="U395"/>
      <c r="V395"/>
      <c r="W395" s="12"/>
      <c r="X395" s="12"/>
      <c r="Y395" s="12"/>
      <c r="Z395" s="12"/>
      <c r="AA395" s="12"/>
      <c r="AB395" s="12"/>
      <c r="AC395" s="12"/>
      <c r="AD395" s="12"/>
      <c r="AE395" s="12"/>
      <c r="AF395" s="12"/>
      <c r="AG395" s="12"/>
      <c r="AH395" s="12"/>
      <c r="AI395" s="12"/>
    </row>
    <row r="396" spans="1:35" s="10" customFormat="1" x14ac:dyDescent="0.25">
      <c r="A396" s="12"/>
      <c r="B396" s="12"/>
      <c r="C396" s="12"/>
      <c r="D396"/>
      <c r="E396"/>
      <c r="F396"/>
      <c r="G396" s="3"/>
      <c r="H396" s="3"/>
      <c r="I396" s="3"/>
      <c r="J396" s="3"/>
      <c r="K396"/>
      <c r="L396"/>
      <c r="M396"/>
      <c r="N396" s="3"/>
      <c r="O396" s="3"/>
      <c r="P396" s="3"/>
      <c r="Q396" s="3"/>
      <c r="R396" s="3"/>
      <c r="S396"/>
      <c r="T396"/>
      <c r="U396"/>
      <c r="V396"/>
      <c r="W396" s="12"/>
      <c r="X396" s="12"/>
      <c r="Y396" s="12"/>
      <c r="Z396" s="12"/>
      <c r="AA396" s="12"/>
      <c r="AB396" s="12"/>
      <c r="AC396" s="12"/>
      <c r="AD396" s="12"/>
      <c r="AE396" s="12"/>
      <c r="AF396" s="12"/>
      <c r="AG396" s="12"/>
      <c r="AH396" s="12"/>
      <c r="AI396" s="12"/>
    </row>
    <row r="397" spans="1:35" s="10" customFormat="1" x14ac:dyDescent="0.25">
      <c r="A397" s="12"/>
      <c r="B397" s="12"/>
      <c r="C397" s="12"/>
      <c r="D397"/>
      <c r="E397"/>
      <c r="F397"/>
      <c r="G397" s="3"/>
      <c r="H397" s="3"/>
      <c r="I397" s="3"/>
      <c r="J397" s="3"/>
      <c r="K397"/>
      <c r="L397"/>
      <c r="M397"/>
      <c r="N397" s="3"/>
      <c r="O397" s="3"/>
      <c r="P397" s="3"/>
      <c r="Q397" s="3"/>
      <c r="R397" s="3"/>
      <c r="S397"/>
      <c r="T397"/>
      <c r="U397"/>
      <c r="V397"/>
      <c r="W397" s="12"/>
      <c r="X397" s="12"/>
      <c r="Y397" s="12"/>
      <c r="Z397" s="12"/>
      <c r="AA397" s="12"/>
      <c r="AB397" s="12"/>
      <c r="AC397" s="12"/>
      <c r="AD397" s="12"/>
      <c r="AE397" s="12"/>
      <c r="AF397" s="12"/>
      <c r="AG397" s="12"/>
      <c r="AH397" s="12"/>
      <c r="AI397" s="12"/>
    </row>
    <row r="398" spans="1:35" s="10" customFormat="1" x14ac:dyDescent="0.25">
      <c r="A398" s="12"/>
      <c r="B398" s="12"/>
      <c r="C398" s="12"/>
      <c r="D398"/>
      <c r="E398"/>
      <c r="F398"/>
      <c r="G398" s="3"/>
      <c r="H398" s="3"/>
      <c r="I398" s="3"/>
      <c r="J398" s="3"/>
      <c r="K398"/>
      <c r="L398"/>
      <c r="M398"/>
      <c r="N398" s="3"/>
      <c r="O398" s="3"/>
      <c r="P398" s="3"/>
      <c r="Q398" s="3"/>
      <c r="R398" s="3"/>
      <c r="S398"/>
      <c r="T398"/>
      <c r="U398"/>
      <c r="V398"/>
      <c r="W398" s="12"/>
      <c r="X398" s="12"/>
      <c r="Y398" s="12"/>
      <c r="Z398" s="12"/>
      <c r="AA398" s="12"/>
      <c r="AB398" s="12"/>
      <c r="AC398" s="12"/>
      <c r="AD398" s="12"/>
      <c r="AE398" s="12"/>
      <c r="AF398" s="12"/>
      <c r="AG398" s="12"/>
      <c r="AH398" s="12"/>
      <c r="AI398" s="12"/>
    </row>
    <row r="399" spans="1:35" s="10" customFormat="1" x14ac:dyDescent="0.25">
      <c r="A399" s="12"/>
      <c r="B399" s="12"/>
      <c r="C399" s="12"/>
      <c r="D399"/>
      <c r="E399"/>
      <c r="F399"/>
      <c r="G399" s="3"/>
      <c r="H399" s="3"/>
      <c r="I399" s="3"/>
      <c r="J399" s="3"/>
      <c r="K399"/>
      <c r="L399"/>
      <c r="M399"/>
      <c r="N399" s="3"/>
      <c r="O399" s="3"/>
      <c r="P399" s="3"/>
      <c r="Q399" s="3"/>
      <c r="R399" s="3"/>
      <c r="S399"/>
      <c r="T399"/>
      <c r="U399"/>
      <c r="V399"/>
      <c r="W399" s="12"/>
      <c r="X399" s="12"/>
      <c r="Y399" s="12"/>
      <c r="Z399" s="12"/>
      <c r="AA399" s="12"/>
      <c r="AB399" s="12"/>
      <c r="AC399" s="12"/>
      <c r="AD399" s="12"/>
      <c r="AE399" s="12"/>
      <c r="AF399" s="12"/>
      <c r="AG399" s="12"/>
      <c r="AH399" s="12"/>
      <c r="AI399" s="12"/>
    </row>
    <row r="400" spans="1:35" s="10" customFormat="1" x14ac:dyDescent="0.25">
      <c r="A400" s="12"/>
      <c r="B400" s="12"/>
      <c r="C400" s="12"/>
      <c r="D400"/>
      <c r="E400"/>
      <c r="F400"/>
      <c r="G400" s="3"/>
      <c r="H400" s="3"/>
      <c r="I400" s="3"/>
      <c r="J400" s="3"/>
      <c r="K400"/>
      <c r="L400"/>
      <c r="M400"/>
      <c r="N400" s="3"/>
      <c r="O400" s="3"/>
      <c r="P400" s="3"/>
      <c r="Q400" s="3"/>
      <c r="R400" s="3"/>
      <c r="S400"/>
      <c r="T400"/>
      <c r="U400"/>
      <c r="V400"/>
      <c r="W400" s="12"/>
      <c r="X400" s="12"/>
      <c r="Y400" s="12"/>
      <c r="Z400" s="12"/>
      <c r="AA400" s="12"/>
      <c r="AB400" s="12"/>
      <c r="AC400" s="12"/>
      <c r="AD400" s="12"/>
      <c r="AE400" s="12"/>
      <c r="AF400" s="12"/>
      <c r="AG400" s="12"/>
      <c r="AH400" s="12"/>
      <c r="AI400" s="12"/>
    </row>
    <row r="401" spans="1:35" s="10" customFormat="1" x14ac:dyDescent="0.25">
      <c r="A401" s="12"/>
      <c r="B401" s="12"/>
      <c r="C401" s="12"/>
      <c r="D401"/>
      <c r="E401"/>
      <c r="F401"/>
      <c r="G401" s="3"/>
      <c r="H401" s="3"/>
      <c r="I401" s="3"/>
      <c r="J401" s="3"/>
      <c r="K401"/>
      <c r="L401"/>
      <c r="M401"/>
      <c r="N401" s="3"/>
      <c r="O401" s="3"/>
      <c r="P401" s="3"/>
      <c r="Q401" s="3"/>
      <c r="R401" s="3"/>
      <c r="S401"/>
      <c r="T401"/>
      <c r="U401"/>
      <c r="V401"/>
      <c r="W401" s="12"/>
      <c r="X401" s="12"/>
      <c r="Y401" s="12"/>
      <c r="Z401" s="12"/>
      <c r="AA401" s="12"/>
      <c r="AB401" s="12"/>
      <c r="AC401" s="12"/>
      <c r="AD401" s="12"/>
      <c r="AE401" s="12"/>
      <c r="AF401" s="12"/>
      <c r="AG401" s="12"/>
      <c r="AH401" s="12"/>
      <c r="AI401" s="12"/>
    </row>
    <row r="402" spans="1:35" s="10" customFormat="1" x14ac:dyDescent="0.25">
      <c r="A402" s="12"/>
      <c r="B402" s="12"/>
      <c r="C402" s="12"/>
      <c r="D402"/>
      <c r="E402"/>
      <c r="F402"/>
      <c r="G402" s="3"/>
      <c r="H402" s="3"/>
      <c r="I402" s="3"/>
      <c r="J402" s="3"/>
      <c r="K402"/>
      <c r="L402"/>
      <c r="M402"/>
      <c r="N402" s="3"/>
      <c r="O402" s="3"/>
      <c r="P402" s="3"/>
      <c r="Q402" s="3"/>
      <c r="R402" s="3"/>
      <c r="S402"/>
      <c r="T402"/>
      <c r="U402"/>
      <c r="V402"/>
      <c r="W402" s="12"/>
      <c r="X402" s="12"/>
      <c r="Y402" s="12"/>
      <c r="Z402" s="12"/>
      <c r="AA402" s="12"/>
      <c r="AB402" s="12"/>
      <c r="AC402" s="12"/>
      <c r="AD402" s="12"/>
      <c r="AE402" s="12"/>
      <c r="AF402" s="12"/>
      <c r="AG402" s="12"/>
      <c r="AH402" s="12"/>
      <c r="AI402" s="12"/>
    </row>
    <row r="403" spans="1:35" s="10" customFormat="1" x14ac:dyDescent="0.25">
      <c r="A403" s="12"/>
      <c r="B403" s="12"/>
      <c r="C403" s="12"/>
      <c r="D403"/>
      <c r="E403"/>
      <c r="F403"/>
      <c r="G403" s="3"/>
      <c r="H403" s="3"/>
      <c r="I403" s="3"/>
      <c r="J403" s="3"/>
      <c r="K403"/>
      <c r="L403"/>
      <c r="M403"/>
      <c r="N403" s="3"/>
      <c r="O403" s="3"/>
      <c r="P403" s="3"/>
      <c r="Q403" s="3"/>
      <c r="R403" s="3"/>
      <c r="S403"/>
      <c r="T403"/>
      <c r="U403"/>
      <c r="V403"/>
      <c r="W403" s="12"/>
      <c r="X403" s="12"/>
      <c r="Y403" s="12"/>
      <c r="Z403" s="12"/>
      <c r="AA403" s="12"/>
      <c r="AB403" s="12"/>
      <c r="AC403" s="12"/>
      <c r="AD403" s="12"/>
      <c r="AE403" s="12"/>
      <c r="AF403" s="12"/>
      <c r="AG403" s="12"/>
      <c r="AH403" s="12"/>
      <c r="AI403" s="12"/>
    </row>
    <row r="404" spans="1:35" s="10" customFormat="1" x14ac:dyDescent="0.25">
      <c r="A404" s="12"/>
      <c r="B404" s="12"/>
      <c r="C404" s="12"/>
      <c r="D404"/>
      <c r="E404"/>
      <c r="F404"/>
      <c r="G404" s="3"/>
      <c r="H404" s="3"/>
      <c r="I404" s="3"/>
      <c r="J404" s="3"/>
      <c r="K404"/>
      <c r="L404"/>
      <c r="M404"/>
      <c r="N404" s="3"/>
      <c r="O404" s="3"/>
      <c r="P404" s="3"/>
      <c r="Q404" s="3"/>
      <c r="R404" s="3"/>
      <c r="S404"/>
      <c r="T404"/>
      <c r="U404"/>
      <c r="V404"/>
      <c r="W404" s="12"/>
      <c r="X404" s="12"/>
      <c r="Y404" s="12"/>
      <c r="Z404" s="12"/>
      <c r="AA404" s="12"/>
      <c r="AB404" s="12"/>
      <c r="AC404" s="12"/>
      <c r="AD404" s="12"/>
      <c r="AE404" s="12"/>
      <c r="AF404" s="12"/>
      <c r="AG404" s="12"/>
      <c r="AH404" s="12"/>
      <c r="AI404" s="12"/>
    </row>
    <row r="405" spans="1:35" s="10" customFormat="1" x14ac:dyDescent="0.25">
      <c r="A405" s="12"/>
      <c r="B405" s="12"/>
      <c r="C405" s="12"/>
      <c r="D405"/>
      <c r="E405"/>
      <c r="F405"/>
      <c r="G405" s="3"/>
      <c r="H405" s="3"/>
      <c r="I405" s="3"/>
      <c r="J405" s="3"/>
      <c r="K405"/>
      <c r="L405"/>
      <c r="M405"/>
      <c r="N405" s="3"/>
      <c r="O405" s="3"/>
      <c r="P405" s="3"/>
      <c r="Q405" s="3"/>
      <c r="R405" s="3"/>
      <c r="S405"/>
      <c r="T405"/>
      <c r="U405"/>
      <c r="V405"/>
      <c r="W405" s="12"/>
      <c r="X405" s="12"/>
      <c r="Y405" s="12"/>
      <c r="Z405" s="12"/>
      <c r="AA405" s="12"/>
      <c r="AB405" s="12"/>
      <c r="AC405" s="12"/>
      <c r="AD405" s="12"/>
      <c r="AE405" s="12"/>
      <c r="AF405" s="12"/>
      <c r="AG405" s="12"/>
      <c r="AH405" s="12"/>
      <c r="AI405" s="12"/>
    </row>
    <row r="406" spans="1:35" s="10" customFormat="1" x14ac:dyDescent="0.25">
      <c r="A406" s="12"/>
      <c r="B406" s="12"/>
      <c r="C406" s="12"/>
      <c r="D406"/>
      <c r="E406"/>
      <c r="F406"/>
      <c r="G406" s="3"/>
      <c r="H406" s="3"/>
      <c r="I406" s="3"/>
      <c r="J406" s="3"/>
      <c r="K406"/>
      <c r="L406"/>
      <c r="M406"/>
      <c r="N406" s="3"/>
      <c r="O406" s="3"/>
      <c r="P406" s="3"/>
      <c r="Q406" s="3"/>
      <c r="R406" s="3"/>
      <c r="S406"/>
      <c r="T406"/>
      <c r="U406"/>
      <c r="V406"/>
      <c r="W406" s="12"/>
      <c r="X406" s="12"/>
      <c r="Y406" s="12"/>
      <c r="Z406" s="12"/>
      <c r="AA406" s="12"/>
      <c r="AB406" s="12"/>
      <c r="AC406" s="12"/>
      <c r="AD406" s="12"/>
      <c r="AE406" s="12"/>
      <c r="AF406" s="12"/>
      <c r="AG406" s="12"/>
      <c r="AH406" s="12"/>
      <c r="AI406" s="12"/>
    </row>
    <row r="407" spans="1:35" s="10" customFormat="1" x14ac:dyDescent="0.25">
      <c r="A407" s="12"/>
      <c r="B407" s="12"/>
      <c r="C407" s="12"/>
      <c r="D407"/>
      <c r="E407"/>
      <c r="F407"/>
      <c r="G407" s="3"/>
      <c r="H407" s="3"/>
      <c r="I407" s="3"/>
      <c r="J407" s="3"/>
      <c r="K407"/>
      <c r="L407"/>
      <c r="M407"/>
      <c r="N407" s="3"/>
      <c r="O407" s="3"/>
      <c r="P407" s="3"/>
      <c r="Q407" s="3"/>
      <c r="R407" s="3"/>
      <c r="S407"/>
      <c r="T407"/>
      <c r="U407"/>
      <c r="V407"/>
      <c r="W407" s="12"/>
      <c r="X407" s="12"/>
      <c r="Y407" s="12"/>
      <c r="Z407" s="12"/>
      <c r="AA407" s="12"/>
      <c r="AB407" s="12"/>
      <c r="AC407" s="12"/>
      <c r="AD407" s="12"/>
      <c r="AE407" s="12"/>
      <c r="AF407" s="12"/>
      <c r="AG407" s="12"/>
      <c r="AH407" s="12"/>
      <c r="AI407" s="12"/>
    </row>
    <row r="408" spans="1:35" s="10" customFormat="1" x14ac:dyDescent="0.25">
      <c r="A408" s="12"/>
      <c r="B408" s="12"/>
      <c r="C408" s="12"/>
      <c r="D408"/>
      <c r="E408"/>
      <c r="F408"/>
      <c r="G408" s="3"/>
      <c r="H408" s="3"/>
      <c r="I408" s="3"/>
      <c r="J408" s="3"/>
      <c r="K408"/>
      <c r="L408"/>
      <c r="M408"/>
      <c r="N408" s="3"/>
      <c r="O408" s="3"/>
      <c r="P408" s="3"/>
      <c r="Q408" s="3"/>
      <c r="R408" s="3"/>
      <c r="S408"/>
      <c r="T408"/>
      <c r="U408"/>
      <c r="V408"/>
      <c r="W408" s="12"/>
      <c r="X408" s="12"/>
      <c r="Y408" s="12"/>
      <c r="Z408" s="12"/>
      <c r="AA408" s="12"/>
      <c r="AB408" s="12"/>
      <c r="AC408" s="12"/>
      <c r="AD408" s="12"/>
      <c r="AE408" s="12"/>
      <c r="AF408" s="12"/>
      <c r="AG408" s="12"/>
      <c r="AH408" s="12"/>
      <c r="AI408" s="12"/>
    </row>
    <row r="409" spans="1:35" s="10" customFormat="1" x14ac:dyDescent="0.25">
      <c r="A409" s="12"/>
      <c r="B409" s="12"/>
      <c r="C409" s="12"/>
      <c r="D409"/>
      <c r="E409"/>
      <c r="F409"/>
      <c r="G409" s="3"/>
      <c r="H409" s="3"/>
      <c r="I409" s="3"/>
      <c r="J409" s="3"/>
      <c r="K409"/>
      <c r="L409"/>
      <c r="M409"/>
      <c r="N409" s="3"/>
      <c r="O409" s="3"/>
      <c r="P409" s="3"/>
      <c r="Q409" s="3"/>
      <c r="R409" s="3"/>
      <c r="S409"/>
      <c r="T409"/>
      <c r="U409"/>
      <c r="V409"/>
      <c r="W409" s="12"/>
      <c r="X409" s="12"/>
      <c r="Y409" s="12"/>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s="15"/>
      <c r="E450"/>
      <c r="F450"/>
      <c r="G450" s="3"/>
      <c r="H450" s="3"/>
      <c r="I450" s="3"/>
      <c r="J450" s="3"/>
      <c r="K450"/>
      <c r="L450"/>
      <c r="M450"/>
      <c r="N450" s="3"/>
      <c r="O450" s="3"/>
      <c r="P450" s="3"/>
      <c r="Q450" s="3"/>
      <c r="R450" s="3"/>
      <c r="S450"/>
      <c r="T450"/>
      <c r="U450" s="12"/>
      <c r="V450" s="12"/>
      <c r="W450" s="12"/>
      <c r="X450" s="12"/>
      <c r="Y450" s="12"/>
      <c r="Z450" s="12"/>
      <c r="AA450" s="12"/>
      <c r="AB450" s="12"/>
      <c r="AC450" s="12"/>
      <c r="AD450" s="12"/>
      <c r="AE450" s="12"/>
      <c r="AF450" s="12"/>
      <c r="AG450" s="12"/>
      <c r="AH450" s="12"/>
      <c r="AI450" s="12"/>
    </row>
    <row r="451" spans="1:35" s="10" customFormat="1" x14ac:dyDescent="0.25">
      <c r="A451" s="12"/>
      <c r="B451" s="12"/>
      <c r="C451" s="12"/>
      <c r="D451" s="15"/>
      <c r="E451"/>
      <c r="F451"/>
      <c r="G451" s="3"/>
      <c r="H451" s="3"/>
      <c r="I451" s="3"/>
      <c r="J451" s="3"/>
      <c r="K451"/>
      <c r="L451"/>
      <c r="M451"/>
      <c r="N451" s="3"/>
      <c r="O451" s="3"/>
      <c r="P451" s="3"/>
      <c r="Q451" s="3"/>
      <c r="R451" s="3"/>
      <c r="S451"/>
      <c r="T451"/>
      <c r="U451" s="12"/>
      <c r="V451" s="12"/>
      <c r="W451" s="12"/>
      <c r="X451" s="12"/>
      <c r="Y451" s="12"/>
      <c r="Z451" s="12"/>
      <c r="AA451" s="12"/>
      <c r="AB451" s="12"/>
      <c r="AC451" s="12"/>
      <c r="AD451" s="12"/>
      <c r="AE451" s="12"/>
      <c r="AF451" s="12"/>
      <c r="AG451" s="12"/>
      <c r="AH451" s="12"/>
      <c r="AI451" s="12"/>
    </row>
    <row r="452" spans="1:35" s="10" customFormat="1" x14ac:dyDescent="0.25">
      <c r="A452" s="12"/>
      <c r="B452" s="12"/>
      <c r="C452" s="12"/>
      <c r="D452" s="15"/>
      <c r="E452"/>
      <c r="F452"/>
      <c r="G452" s="3"/>
      <c r="H452" s="3"/>
      <c r="I452" s="3"/>
      <c r="J452" s="3"/>
      <c r="K452"/>
      <c r="L452"/>
      <c r="M452"/>
      <c r="N452" s="3"/>
      <c r="O452" s="3"/>
      <c r="P452" s="3"/>
      <c r="Q452" s="3"/>
      <c r="R452" s="3"/>
      <c r="S452"/>
      <c r="T452"/>
      <c r="U452" s="12"/>
      <c r="V452" s="12"/>
      <c r="W452" s="12"/>
      <c r="X452" s="12"/>
      <c r="Y452" s="12"/>
      <c r="Z452" s="12"/>
      <c r="AA452" s="12"/>
      <c r="AB452" s="12"/>
      <c r="AC452" s="12"/>
      <c r="AD452" s="12"/>
      <c r="AE452" s="12"/>
      <c r="AF452" s="12"/>
      <c r="AG452" s="12"/>
      <c r="AH452" s="12"/>
      <c r="AI452" s="12"/>
    </row>
    <row r="453" spans="1:35" s="10" customFormat="1" x14ac:dyDescent="0.25">
      <c r="A453" s="12"/>
      <c r="B453" s="12"/>
      <c r="C453" s="12"/>
      <c r="D453" s="12"/>
      <c r="E453"/>
      <c r="F453"/>
      <c r="G453" s="3"/>
      <c r="H453" s="3"/>
      <c r="I453" s="3"/>
      <c r="J453" s="3"/>
      <c r="K453"/>
      <c r="L453"/>
      <c r="M453"/>
      <c r="N453" s="3"/>
      <c r="O453" s="3"/>
      <c r="P453" s="3"/>
      <c r="Q453" s="3"/>
      <c r="R453" s="3"/>
      <c r="S453"/>
      <c r="T453"/>
      <c r="U453" s="12"/>
      <c r="V453" s="12"/>
      <c r="W453" s="12"/>
      <c r="X453" s="12"/>
      <c r="Y453" s="12"/>
      <c r="Z453" s="12"/>
      <c r="AA453" s="12"/>
      <c r="AB453" s="12"/>
      <c r="AC453" s="12"/>
      <c r="AD453" s="12"/>
      <c r="AE453" s="12"/>
      <c r="AF453" s="12"/>
      <c r="AG453" s="12"/>
      <c r="AH453" s="12"/>
      <c r="AI453" s="12"/>
    </row>
    <row r="454" spans="1:35" s="10" customFormat="1" x14ac:dyDescent="0.25">
      <c r="A454" s="12"/>
      <c r="B454" s="12"/>
      <c r="C454" s="12"/>
      <c r="D454" s="12"/>
      <c r="E454"/>
      <c r="F454"/>
      <c r="G454" s="3"/>
      <c r="H454" s="3"/>
      <c r="I454" s="3"/>
      <c r="J454" s="3"/>
      <c r="K454"/>
      <c r="L454"/>
      <c r="M454"/>
      <c r="N454" s="3"/>
      <c r="O454" s="3"/>
      <c r="P454" s="3"/>
      <c r="Q454" s="3"/>
      <c r="R454" s="3"/>
      <c r="S454"/>
      <c r="T454"/>
      <c r="U454" s="12"/>
      <c r="V454" s="12"/>
      <c r="W454" s="12"/>
      <c r="X454" s="12"/>
      <c r="Y454" s="12"/>
      <c r="Z454" s="12"/>
      <c r="AA454" s="12"/>
      <c r="AB454" s="12"/>
      <c r="AC454" s="12"/>
      <c r="AD454" s="12"/>
      <c r="AE454" s="12"/>
      <c r="AF454" s="12"/>
      <c r="AG454" s="12"/>
      <c r="AH454" s="12"/>
      <c r="AI454" s="12"/>
    </row>
    <row r="455" spans="1:35" s="10" customFormat="1" x14ac:dyDescent="0.25">
      <c r="A455" s="12"/>
      <c r="B455" s="12"/>
      <c r="C455" s="12"/>
      <c r="D455" s="12"/>
      <c r="E455" s="12"/>
      <c r="G455" s="14"/>
      <c r="H455" s="17"/>
      <c r="I455" s="14"/>
      <c r="M455" s="12"/>
      <c r="T455" s="12"/>
      <c r="U455" s="12"/>
      <c r="V455" s="12"/>
      <c r="W455" s="12"/>
      <c r="X455" s="12"/>
      <c r="Y455" s="12"/>
      <c r="Z455" s="12"/>
      <c r="AA455" s="12"/>
      <c r="AB455" s="12"/>
      <c r="AC455" s="12"/>
      <c r="AD455" s="12"/>
      <c r="AE455" s="12"/>
      <c r="AF455" s="12"/>
      <c r="AG455" s="12"/>
      <c r="AH455" s="12"/>
      <c r="AI455" s="12"/>
    </row>
    <row r="456" spans="1:35" s="10" customFormat="1" x14ac:dyDescent="0.25">
      <c r="A456" s="12"/>
      <c r="B456" s="12"/>
      <c r="C456" s="12"/>
      <c r="D456" s="12"/>
      <c r="E456" s="12"/>
      <c r="G456" s="14"/>
      <c r="H456" s="17"/>
      <c r="I456" s="14"/>
      <c r="M456" s="12"/>
      <c r="T456" s="12"/>
      <c r="U456" s="12"/>
      <c r="V456" s="12"/>
      <c r="W456" s="12"/>
      <c r="X456" s="12"/>
      <c r="Y456" s="12"/>
      <c r="Z456" s="12"/>
      <c r="AA456" s="12"/>
      <c r="AB456" s="12"/>
      <c r="AC456" s="12"/>
      <c r="AD456" s="12"/>
      <c r="AE456" s="12"/>
      <c r="AF456" s="12"/>
      <c r="AG456" s="12"/>
      <c r="AH456" s="12"/>
      <c r="AI456" s="12"/>
    </row>
    <row r="457" spans="1:35" s="10" customFormat="1" x14ac:dyDescent="0.25">
      <c r="A457" s="12"/>
      <c r="B457" s="12"/>
      <c r="C457" s="12"/>
      <c r="D457" s="12"/>
      <c r="E457" s="12"/>
      <c r="G457" s="14"/>
      <c r="H457" s="17"/>
      <c r="I457" s="14"/>
      <c r="M457" s="12"/>
      <c r="T457" s="12"/>
      <c r="U457" s="12"/>
      <c r="V457" s="12"/>
      <c r="W457" s="12"/>
      <c r="X457" s="12"/>
      <c r="Y457" s="12"/>
      <c r="Z457" s="12"/>
      <c r="AA457" s="12"/>
      <c r="AB457" s="12"/>
      <c r="AC457" s="12"/>
      <c r="AD457" s="12"/>
      <c r="AE457" s="12"/>
      <c r="AF457" s="12"/>
      <c r="AG457" s="12"/>
      <c r="AH457" s="12"/>
      <c r="AI457" s="12"/>
    </row>
    <row r="458" spans="1:35" s="10" customFormat="1" x14ac:dyDescent="0.25">
      <c r="A458" s="12"/>
      <c r="B458" s="12"/>
      <c r="C458" s="12"/>
      <c r="D458" s="12"/>
      <c r="E458" s="12"/>
      <c r="G458" s="14"/>
      <c r="H458" s="17"/>
      <c r="I458" s="14"/>
      <c r="M458" s="12"/>
      <c r="T458" s="12"/>
      <c r="U458" s="12"/>
      <c r="V458" s="12"/>
      <c r="W458" s="12"/>
      <c r="X458" s="12"/>
      <c r="Y458" s="12"/>
      <c r="Z458" s="12"/>
      <c r="AA458" s="12"/>
      <c r="AB458" s="12"/>
      <c r="AC458" s="12"/>
      <c r="AD458" s="12"/>
      <c r="AE458" s="12"/>
      <c r="AF458" s="12"/>
      <c r="AG458" s="12"/>
      <c r="AH458" s="12"/>
      <c r="AI458" s="12"/>
    </row>
    <row r="459" spans="1:35" s="10" customFormat="1" x14ac:dyDescent="0.25">
      <c r="A459" s="12"/>
      <c r="B459" s="12"/>
      <c r="C459" s="12"/>
      <c r="D459" s="12"/>
      <c r="E459" s="12"/>
      <c r="G459" s="14"/>
      <c r="H459" s="17"/>
      <c r="I459" s="14"/>
      <c r="M459" s="12"/>
      <c r="T459" s="12"/>
      <c r="U459" s="12"/>
      <c r="V459" s="12"/>
      <c r="W459" s="12"/>
      <c r="X459" s="12"/>
      <c r="Y459" s="12"/>
      <c r="Z459" s="12"/>
      <c r="AA459" s="12"/>
      <c r="AB459" s="12"/>
      <c r="AC459" s="12"/>
      <c r="AD459" s="12"/>
      <c r="AE459" s="12"/>
      <c r="AF459" s="12"/>
      <c r="AG459" s="12"/>
      <c r="AH459" s="12"/>
      <c r="AI459" s="12"/>
    </row>
    <row r="460" spans="1:35" s="10" customFormat="1" x14ac:dyDescent="0.25">
      <c r="A460" s="12"/>
      <c r="B460" s="12"/>
      <c r="C460" s="12"/>
      <c r="D460" s="12"/>
      <c r="E460" s="12"/>
      <c r="G460" s="14"/>
      <c r="H460" s="17"/>
      <c r="I460" s="14"/>
      <c r="M460" s="12"/>
      <c r="T460" s="12"/>
      <c r="U460" s="12"/>
      <c r="V460" s="12"/>
      <c r="W460" s="12"/>
      <c r="X460" s="12"/>
      <c r="Y460" s="12"/>
      <c r="Z460" s="12"/>
      <c r="AA460" s="12"/>
      <c r="AB460" s="12"/>
      <c r="AC460" s="12"/>
      <c r="AD460" s="12"/>
      <c r="AE460" s="12"/>
      <c r="AF460" s="12"/>
      <c r="AG460" s="12"/>
      <c r="AH460" s="12"/>
      <c r="AI460" s="12"/>
    </row>
    <row r="461" spans="1:35" s="10" customFormat="1" x14ac:dyDescent="0.25">
      <c r="A461" s="12"/>
      <c r="B461" s="12"/>
      <c r="C461" s="12"/>
      <c r="D461" s="12"/>
      <c r="E461" s="12"/>
      <c r="G461" s="14"/>
      <c r="H461" s="17"/>
      <c r="I461" s="14"/>
      <c r="M461" s="12"/>
      <c r="T461" s="12"/>
      <c r="U461" s="12"/>
      <c r="V461" s="12"/>
      <c r="W461" s="12"/>
      <c r="X461" s="12"/>
      <c r="Y461" s="12"/>
      <c r="Z461" s="12"/>
      <c r="AA461" s="12"/>
      <c r="AB461" s="12"/>
      <c r="AC461" s="12"/>
      <c r="AD461" s="12"/>
      <c r="AE461" s="12"/>
      <c r="AF461" s="12"/>
      <c r="AG461" s="12"/>
      <c r="AH461" s="12"/>
      <c r="AI461" s="12"/>
    </row>
    <row r="462" spans="1:35" s="10" customFormat="1" x14ac:dyDescent="0.25">
      <c r="A462" s="12"/>
      <c r="B462" s="12"/>
      <c r="C462" s="12"/>
      <c r="D462" s="12"/>
      <c r="E462" s="12"/>
      <c r="G462" s="14"/>
      <c r="H462" s="17"/>
      <c r="I462" s="14"/>
      <c r="M462" s="12"/>
      <c r="T462" s="12"/>
      <c r="U462" s="12"/>
      <c r="V462" s="12"/>
      <c r="W462" s="12"/>
      <c r="X462" s="12"/>
      <c r="Y462" s="12"/>
      <c r="Z462" s="12"/>
      <c r="AA462" s="12"/>
      <c r="AB462" s="12"/>
      <c r="AC462" s="12"/>
      <c r="AD462" s="12"/>
      <c r="AE462" s="12"/>
      <c r="AF462" s="12"/>
      <c r="AG462" s="12"/>
      <c r="AH462" s="12"/>
      <c r="AI462" s="12"/>
    </row>
    <row r="463" spans="1:35" s="10" customFormat="1" x14ac:dyDescent="0.25">
      <c r="A463" s="12"/>
      <c r="B463" s="12"/>
      <c r="C463" s="12"/>
      <c r="D463" s="12"/>
      <c r="E463" s="12"/>
      <c r="G463" s="14"/>
      <c r="H463" s="17"/>
      <c r="I463" s="14"/>
      <c r="M463" s="12"/>
      <c r="T463" s="12"/>
      <c r="U463" s="12"/>
      <c r="V463" s="12"/>
      <c r="W463" s="12"/>
      <c r="X463" s="12"/>
      <c r="Y463" s="12"/>
      <c r="Z463" s="12"/>
      <c r="AA463" s="12"/>
      <c r="AB463" s="12"/>
      <c r="AC463" s="12"/>
      <c r="AD463" s="12"/>
      <c r="AE463" s="12"/>
      <c r="AF463" s="12"/>
      <c r="AG463" s="12"/>
      <c r="AH463" s="12"/>
      <c r="AI463" s="12"/>
    </row>
    <row r="464" spans="1:35" s="10" customFormat="1" x14ac:dyDescent="0.25">
      <c r="A464" s="12"/>
      <c r="B464" s="12"/>
      <c r="C464" s="12"/>
      <c r="D464" s="12"/>
      <c r="E464" s="12"/>
      <c r="G464" s="14"/>
      <c r="H464" s="17"/>
      <c r="I464" s="14"/>
      <c r="M464" s="12"/>
      <c r="T464" s="12"/>
      <c r="U464" s="12"/>
      <c r="V464" s="12"/>
      <c r="W464" s="12"/>
      <c r="X464" s="12"/>
      <c r="Y464" s="12"/>
      <c r="Z464" s="12"/>
      <c r="AA464" s="12"/>
      <c r="AB464" s="12"/>
      <c r="AC464" s="12"/>
      <c r="AD464" s="12"/>
      <c r="AE464" s="12"/>
      <c r="AF464" s="12"/>
      <c r="AG464" s="12"/>
      <c r="AH464" s="12"/>
      <c r="AI464" s="12"/>
    </row>
    <row r="465" spans="1:35" s="10" customFormat="1" x14ac:dyDescent="0.25">
      <c r="A465" s="12"/>
      <c r="B465" s="12"/>
      <c r="C465" s="12"/>
      <c r="D465" s="12"/>
      <c r="E465" s="12"/>
      <c r="G465" s="14"/>
      <c r="H465" s="17"/>
      <c r="I465" s="14"/>
      <c r="M465" s="12"/>
      <c r="T465" s="12"/>
      <c r="U465" s="12"/>
      <c r="V465" s="12"/>
      <c r="W465" s="12"/>
      <c r="X465" s="12"/>
      <c r="Y465" s="12"/>
      <c r="Z465" s="12"/>
      <c r="AA465" s="12"/>
      <c r="AB465" s="12"/>
      <c r="AC465" s="12"/>
      <c r="AD465" s="12"/>
      <c r="AE465" s="12"/>
      <c r="AF465" s="12"/>
      <c r="AG465" s="12"/>
      <c r="AH465" s="12"/>
      <c r="AI465" s="12"/>
    </row>
    <row r="466" spans="1:35" s="10" customFormat="1" x14ac:dyDescent="0.25">
      <c r="A466" s="12"/>
      <c r="B466" s="12"/>
      <c r="C466" s="12"/>
      <c r="D466" s="12"/>
      <c r="E466" s="12"/>
      <c r="G466" s="14"/>
      <c r="H466" s="17"/>
      <c r="I466" s="14"/>
      <c r="M466" s="12"/>
      <c r="T466" s="12"/>
      <c r="U466" s="12"/>
      <c r="V466" s="12"/>
      <c r="W466" s="12"/>
      <c r="X466" s="12"/>
      <c r="Y466" s="12"/>
      <c r="Z466" s="12"/>
      <c r="AA466" s="12"/>
      <c r="AB466" s="12"/>
      <c r="AC466" s="12"/>
      <c r="AD466" s="12"/>
      <c r="AE466" s="12"/>
      <c r="AF466" s="12"/>
      <c r="AG466" s="12"/>
      <c r="AH466" s="12"/>
      <c r="AI466" s="12"/>
    </row>
    <row r="467" spans="1:35" s="10" customFormat="1" x14ac:dyDescent="0.25">
      <c r="A467" s="12"/>
      <c r="B467" s="12"/>
      <c r="C467" s="12"/>
      <c r="D467" s="12"/>
      <c r="E467" s="12"/>
      <c r="G467" s="14"/>
      <c r="H467" s="17"/>
      <c r="I467" s="14"/>
      <c r="M467" s="12"/>
      <c r="T467" s="12"/>
      <c r="U467" s="12"/>
      <c r="V467" s="12"/>
      <c r="W467" s="12"/>
      <c r="X467" s="12"/>
      <c r="Y467" s="12"/>
      <c r="Z467" s="12"/>
      <c r="AA467" s="12"/>
      <c r="AB467" s="12"/>
      <c r="AC467" s="12"/>
      <c r="AD467" s="12"/>
      <c r="AE467" s="12"/>
      <c r="AF467" s="12"/>
      <c r="AG467" s="12"/>
      <c r="AH467" s="12"/>
      <c r="AI467" s="12"/>
    </row>
    <row r="468" spans="1:35" s="10" customFormat="1" x14ac:dyDescent="0.25">
      <c r="A468" s="12"/>
      <c r="B468" s="12"/>
      <c r="C468" s="12"/>
      <c r="D468" s="12"/>
      <c r="E468" s="12"/>
      <c r="G468" s="14"/>
      <c r="H468" s="17"/>
      <c r="I468" s="14"/>
      <c r="M468" s="12"/>
      <c r="T468" s="12"/>
      <c r="U468" s="12"/>
      <c r="V468" s="12"/>
      <c r="W468" s="12"/>
      <c r="X468" s="12"/>
      <c r="Y468" s="12"/>
      <c r="Z468" s="12"/>
      <c r="AA468" s="12"/>
      <c r="AB468" s="12"/>
      <c r="AC468" s="12"/>
      <c r="AD468" s="12"/>
      <c r="AE468" s="12"/>
      <c r="AF468" s="12"/>
      <c r="AG468" s="12"/>
      <c r="AH468" s="12"/>
      <c r="AI468" s="12"/>
    </row>
    <row r="469" spans="1:35" s="10" customFormat="1" x14ac:dyDescent="0.25">
      <c r="A469" s="12"/>
      <c r="B469" s="12"/>
      <c r="C469" s="12"/>
      <c r="D469" s="12"/>
      <c r="E469" s="12"/>
      <c r="G469" s="14"/>
      <c r="H469" s="17"/>
      <c r="I469" s="14"/>
      <c r="M469" s="12"/>
      <c r="T469" s="12"/>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2"/>
      <c r="E470" s="12"/>
      <c r="G470" s="14"/>
      <c r="H470" s="17"/>
      <c r="I470" s="14"/>
      <c r="M470" s="12"/>
      <c r="T470" s="12"/>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2"/>
      <c r="E471" s="12"/>
      <c r="G471" s="14"/>
      <c r="H471" s="17"/>
      <c r="I471" s="14"/>
      <c r="M471" s="12"/>
      <c r="T471" s="12"/>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s="12"/>
      <c r="G472" s="14"/>
      <c r="H472" s="17"/>
      <c r="I472" s="14"/>
      <c r="M472" s="12"/>
      <c r="T472" s="1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s="12"/>
      <c r="G473" s="14"/>
      <c r="H473" s="17"/>
      <c r="I473" s="14"/>
      <c r="M473" s="12"/>
      <c r="T473" s="12"/>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6" spans="1:35" s="10" customFormat="1" x14ac:dyDescent="0.25">
      <c r="A496" s="12"/>
      <c r="B496" s="12"/>
      <c r="C496" s="12"/>
      <c r="D496" s="12"/>
      <c r="E496" s="12"/>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25">
      <c r="A512" s="12"/>
      <c r="B512" s="12"/>
      <c r="C512" s="12"/>
      <c r="D512" s="12"/>
      <c r="E512" s="12"/>
      <c r="I512" s="14"/>
      <c r="M512" s="12"/>
      <c r="T512" s="12"/>
      <c r="U512" s="12"/>
      <c r="V512" s="12"/>
      <c r="W512" s="12"/>
      <c r="X512" s="12"/>
      <c r="Y512" s="12"/>
      <c r="Z512" s="12"/>
      <c r="AA512" s="12"/>
      <c r="AB512" s="12"/>
      <c r="AC512" s="12"/>
      <c r="AD512" s="12"/>
      <c r="AE512" s="12"/>
      <c r="AF512" s="12"/>
      <c r="AG512" s="12"/>
      <c r="AH512" s="12"/>
      <c r="AI512" s="12"/>
    </row>
    <row r="513" spans="1:35" s="10" customFormat="1" x14ac:dyDescent="0.25">
      <c r="A513" s="12"/>
      <c r="B513" s="12"/>
      <c r="C513" s="12"/>
      <c r="D513" s="12"/>
      <c r="E513" s="12"/>
      <c r="I513" s="14"/>
      <c r="M513" s="12"/>
      <c r="T513" s="12"/>
      <c r="U513" s="12"/>
      <c r="V513" s="12"/>
      <c r="W513" s="12"/>
      <c r="X513" s="12"/>
      <c r="Y513" s="12"/>
      <c r="Z513" s="12"/>
      <c r="AA513" s="12"/>
      <c r="AB513" s="12"/>
      <c r="AC513" s="12"/>
      <c r="AD513" s="12"/>
      <c r="AE513" s="12"/>
      <c r="AF513" s="12"/>
      <c r="AG513" s="12"/>
      <c r="AH513" s="12"/>
      <c r="AI513" s="12"/>
    </row>
    <row r="514" spans="1:35" s="10" customFormat="1" x14ac:dyDescent="0.25">
      <c r="A514" s="12"/>
      <c r="B514" s="12"/>
      <c r="C514" s="12"/>
      <c r="D514" s="12"/>
      <c r="E514" s="12"/>
      <c r="I514" s="14"/>
      <c r="M514" s="12"/>
      <c r="T514" s="12"/>
      <c r="U514" s="12"/>
      <c r="V514" s="12"/>
      <c r="W514" s="12"/>
      <c r="X514" s="12"/>
      <c r="Y514" s="12"/>
      <c r="Z514" s="12"/>
      <c r="AA514" s="12"/>
      <c r="AB514" s="12"/>
      <c r="AC514" s="12"/>
      <c r="AD514" s="12"/>
      <c r="AE514" s="12"/>
      <c r="AF514" s="12"/>
      <c r="AG514" s="12"/>
      <c r="AH514" s="12"/>
      <c r="AI514"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25">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1" spans="1:35" s="10" customFormat="1" x14ac:dyDescent="0.25">
      <c r="A871" s="12"/>
      <c r="B871" s="12"/>
      <c r="C871" s="12"/>
      <c r="D871" s="12"/>
      <c r="E871" s="12"/>
      <c r="I871" s="14"/>
      <c r="M871" s="12"/>
      <c r="T871" s="12"/>
      <c r="U871" s="12"/>
      <c r="V871" s="12"/>
      <c r="W871" s="12"/>
      <c r="X871" s="12"/>
      <c r="Y871" s="12"/>
      <c r="Z871" s="12"/>
      <c r="AA871" s="12"/>
      <c r="AB871" s="12"/>
      <c r="AC871" s="12"/>
      <c r="AD871" s="12"/>
      <c r="AE871" s="12"/>
      <c r="AF871" s="12"/>
      <c r="AG871" s="12"/>
      <c r="AH871" s="12"/>
      <c r="AI871" s="12"/>
    </row>
    <row r="872" spans="1:35" s="10" customFormat="1" x14ac:dyDescent="0.25">
      <c r="A872" s="12"/>
      <c r="B872" s="12"/>
      <c r="C872" s="12"/>
      <c r="D872" s="12"/>
      <c r="E872" s="12"/>
      <c r="I872" s="14"/>
      <c r="M872" s="12"/>
      <c r="T872" s="12"/>
      <c r="U872" s="12"/>
      <c r="V872" s="12"/>
      <c r="W872" s="12"/>
      <c r="X872" s="12"/>
      <c r="Y872" s="12"/>
      <c r="Z872" s="12"/>
      <c r="AA872" s="12"/>
      <c r="AB872" s="12"/>
      <c r="AC872" s="12"/>
      <c r="AD872" s="12"/>
      <c r="AE872" s="12"/>
      <c r="AF872" s="12"/>
      <c r="AG872" s="12"/>
      <c r="AH872" s="12"/>
      <c r="AI872"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333375</xdr:colOff>
                <xdr:row>9</xdr:row>
                <xdr:rowOff>9525</xdr:rowOff>
              </from>
              <to>
                <xdr:col>11</xdr:col>
                <xdr:colOff>9525</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333375</xdr:colOff>
                <xdr:row>7</xdr:row>
                <xdr:rowOff>9525</xdr:rowOff>
              </from>
              <to>
                <xdr:col>11</xdr:col>
                <xdr:colOff>9525</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11</xdr:col>
                <xdr:colOff>9525</xdr:colOff>
                <xdr:row>3</xdr:row>
                <xdr:rowOff>28575</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10</xdr:col>
                <xdr:colOff>781050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24" sqref="F24"/>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184</v>
      </c>
      <c r="D14" s="3">
        <v>3</v>
      </c>
      <c r="E14" t="s">
        <v>185</v>
      </c>
      <c r="F14" t="s">
        <v>186</v>
      </c>
    </row>
    <row r="15" spans="3:6" x14ac:dyDescent="0.25">
      <c r="C15" t="s">
        <v>182</v>
      </c>
      <c r="D15" s="3">
        <v>4</v>
      </c>
      <c r="E15" t="s">
        <v>183</v>
      </c>
      <c r="F15" t="s">
        <v>187</v>
      </c>
    </row>
    <row r="16" spans="3:6" x14ac:dyDescent="0.25">
      <c r="C16" t="s">
        <v>204</v>
      </c>
      <c r="D16" s="3">
        <v>5</v>
      </c>
      <c r="E16" t="s">
        <v>205</v>
      </c>
      <c r="F16" t="s">
        <v>206</v>
      </c>
    </row>
    <row r="17" spans="3:6" x14ac:dyDescent="0.25">
      <c r="C17" t="s">
        <v>197</v>
      </c>
      <c r="D17" s="3">
        <v>6</v>
      </c>
      <c r="E17" t="s">
        <v>87</v>
      </c>
      <c r="F17" t="s">
        <v>203</v>
      </c>
    </row>
    <row r="18" spans="3:6" x14ac:dyDescent="0.25">
      <c r="C18" s="2"/>
      <c r="D18" s="3">
        <v>7</v>
      </c>
    </row>
    <row r="19" spans="3:6" x14ac:dyDescent="0.25">
      <c r="C19"/>
      <c r="D19" s="3">
        <v>8</v>
      </c>
    </row>
    <row r="20" spans="3:6" x14ac:dyDescent="0.25">
      <c r="C20"/>
      <c r="D20" s="3">
        <v>9</v>
      </c>
    </row>
    <row r="21" spans="3:6" x14ac:dyDescent="0.25">
      <c r="D21" s="3">
        <v>10</v>
      </c>
    </row>
    <row r="22" spans="3:6" x14ac:dyDescent="0.25">
      <c r="D22" s="3">
        <v>11</v>
      </c>
    </row>
    <row r="23" spans="3:6" x14ac:dyDescent="0.25">
      <c r="C23"/>
      <c r="D23" s="3">
        <v>12</v>
      </c>
    </row>
    <row r="24" spans="3:6" x14ac:dyDescent="0.25">
      <c r="C24" s="2"/>
      <c r="D24" s="3">
        <v>13</v>
      </c>
    </row>
    <row r="25" spans="3:6" x14ac:dyDescent="0.25">
      <c r="D25" s="3">
        <v>14</v>
      </c>
    </row>
    <row r="26" spans="3:6" x14ac:dyDescent="0.25">
      <c r="C26"/>
      <c r="D26" s="3">
        <v>15</v>
      </c>
    </row>
    <row r="27" spans="3:6" x14ac:dyDescent="0.25">
      <c r="C27"/>
      <c r="D27" s="3">
        <v>16</v>
      </c>
    </row>
    <row r="28" spans="3:6" x14ac:dyDescent="0.25">
      <c r="C28"/>
      <c r="D28" s="3">
        <v>17</v>
      </c>
    </row>
    <row r="29" spans="3:6" x14ac:dyDescent="0.25">
      <c r="C29"/>
      <c r="D29" s="3">
        <v>18</v>
      </c>
    </row>
    <row r="30" spans="3:6" x14ac:dyDescent="0.25">
      <c r="C30"/>
      <c r="D30" s="3">
        <v>19</v>
      </c>
    </row>
    <row r="31" spans="3:6" x14ac:dyDescent="0.25">
      <c r="C31"/>
      <c r="D31" s="3">
        <v>20</v>
      </c>
    </row>
    <row r="32" spans="3:6"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2024-07-29T15:34:05Z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